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bit Tracker" sheetId="1" r:id="rId5"/>
  </sheets>
  <definedNames/>
  <calcPr/>
</workbook>
</file>

<file path=xl/sharedStrings.xml><?xml version="1.0" encoding="utf-8"?>
<sst xmlns="http://schemas.openxmlformats.org/spreadsheetml/2006/main" count="81" uniqueCount="54">
  <si>
    <t xml:space="preserve"> </t>
  </si>
  <si>
    <t>@dropdown</t>
  </si>
  <si>
    <t>January</t>
  </si>
  <si>
    <t>HABIT TRACKER</t>
  </si>
  <si>
    <t>OVERVIEW MONTHLY PROGRESS</t>
  </si>
  <si>
    <t>February</t>
  </si>
  <si>
    <t>COMPLETED</t>
  </si>
  <si>
    <t>March</t>
  </si>
  <si>
    <t>LEFT</t>
  </si>
  <si>
    <t>April</t>
  </si>
  <si>
    <t>TARGET</t>
  </si>
  <si>
    <t>May</t>
  </si>
  <si>
    <t>June</t>
  </si>
  <si>
    <t>July</t>
  </si>
  <si>
    <t>August</t>
  </si>
  <si>
    <t>CALENDER SETTINGS</t>
  </si>
  <si>
    <t>September</t>
  </si>
  <si>
    <t>YEAR</t>
  </si>
  <si>
    <t>October</t>
  </si>
  <si>
    <t>MONTH</t>
  </si>
  <si>
    <t>December</t>
  </si>
  <si>
    <t>November</t>
  </si>
  <si>
    <t>OVERVIEW</t>
  </si>
  <si>
    <t xml:space="preserve">EXAM PREPARATION WEEK </t>
  </si>
  <si>
    <t>EXAM PREPARATION WEEK</t>
  </si>
  <si>
    <t>WEEK 3</t>
  </si>
  <si>
    <t>WEEK 4</t>
  </si>
  <si>
    <t>WEEK 5</t>
  </si>
  <si>
    <t>TOP 10 DAILY HABITS</t>
  </si>
  <si>
    <t>GLOBAL PROGRESS</t>
  </si>
  <si>
    <t>GOAL</t>
  </si>
  <si>
    <t>WEEKLY PROGRESS</t>
  </si>
  <si>
    <t xml:space="preserve">DOWNLOAD THE OFLINE VERSION </t>
  </si>
  <si>
    <t xml:space="preserve">CLICK HERE </t>
  </si>
  <si>
    <t>DAILY HABITS</t>
  </si>
  <si>
    <t>GOALS</t>
  </si>
  <si>
    <t>OVERALL PROGRESS</t>
  </si>
  <si>
    <t>Wake up at 6AM ⏰</t>
  </si>
  <si>
    <t>No Snoozing 🚫😴</t>
  </si>
  <si>
    <t xml:space="preserve">maths study </t>
  </si>
  <si>
    <t>Drink 3L Water 💧</t>
  </si>
  <si>
    <t>Gym Workout 🏋️‍♂️</t>
  </si>
  <si>
    <t>Stretching 🧘‍♂️</t>
  </si>
  <si>
    <t>Read 10 Pages 📚</t>
  </si>
  <si>
    <t>Meditation 🧘‍♀️</t>
  </si>
  <si>
    <t xml:space="preserve">physics study </t>
  </si>
  <si>
    <t>daily protein intake of 80+</t>
  </si>
  <si>
    <t xml:space="preserve">foc concepts </t>
  </si>
  <si>
    <t xml:space="preserve">eses units study concepts </t>
  </si>
  <si>
    <t xml:space="preserve">maths question </t>
  </si>
  <si>
    <t>foc questions</t>
  </si>
  <si>
    <t xml:space="preserve">physics concepts </t>
  </si>
  <si>
    <t xml:space="preserve">physics questions </t>
  </si>
  <si>
    <t xml:space="preserve">eses questions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</si>
</sst>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"/>
    <numFmt numFmtId="165" formatCode="d"/>
  </numFmts>
  <fonts count="18">
    <font>
      <sz val="10.0"/>
      <color rgb="FF000000"/>
      <name val="Arial"/>
      <scheme val="minor"/>
    </font>
    <font>
      <color theme="1"/>
      <name val="Calibri"/>
    </font>
    <font>
      <color rgb="FFFFFFFF"/>
      <name val="Calibri"/>
    </font>
    <font>
      <b/>
      <sz val="20.0"/>
      <color rgb="FF3A3A3A"/>
      <name val="Calibri"/>
    </font>
    <font/>
    <font>
      <b/>
      <sz val="12.0"/>
      <color theme="1"/>
      <name val="Calibri"/>
    </font>
    <font>
      <sz val="14.0"/>
      <color rgb="FF000000"/>
      <name val="Calibri"/>
    </font>
    <font>
      <b/>
      <color theme="1"/>
      <name val="Calibri"/>
    </font>
    <font>
      <color rgb="FFFFFFFF"/>
      <name val="Arial"/>
      <scheme val="minor"/>
    </font>
    <font>
      <b/>
      <sz val="15.0"/>
      <color theme="1"/>
      <name val="Calibri"/>
    </font>
    <font>
      <b/>
      <sz val="14.0"/>
      <color theme="1"/>
      <name val="Calibri"/>
    </font>
    <font>
      <b/>
      <sz val="11.0"/>
      <color rgb="FFFFFFFF"/>
      <name val="Calibri"/>
    </font>
    <font>
      <b/>
      <sz val="12.0"/>
      <color rgb="FF000000"/>
      <name val="Calibri"/>
    </font>
    <font>
      <b/>
      <u/>
      <sz val="12.0"/>
      <color rgb="FF0000FF"/>
      <name val="Calibri"/>
    </font>
    <font>
      <b/>
      <sz val="11.0"/>
      <color rgb="FF000000"/>
      <name val="Calibri"/>
    </font>
    <font>
      <sz val="12.0"/>
      <color theme="1"/>
      <name val="Calibri"/>
    </font>
    <font>
      <color rgb="FFA7C7E7"/>
      <name val="Calibri"/>
    </font>
    <font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5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CCCCCC"/>
      </bottom>
    </border>
    <border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left style="thin">
        <color rgb="FF000000"/>
      </left>
      <bottom style="thin">
        <color rgb="FFD9D9D9"/>
      </bottom>
    </border>
    <border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EFEFEF"/>
      </right>
      <top style="thin">
        <color rgb="FFD9D9D9"/>
      </top>
      <bottom style="thin">
        <color rgb="FFEFEFEF"/>
      </bottom>
    </border>
    <border>
      <left style="thin">
        <color rgb="FFEFEFEF"/>
      </left>
      <top style="thin">
        <color rgb="FFD9D9D9"/>
      </top>
      <bottom style="thin">
        <color rgb="FFEFEFEF"/>
      </bottom>
    </border>
    <border>
      <top style="thin">
        <color rgb="FFD9D9D9"/>
      </top>
      <bottom style="thin">
        <color rgb="FFEFEFEF"/>
      </bottom>
    </border>
    <border>
      <right style="thin">
        <color rgb="FF000000"/>
      </right>
      <top style="thin">
        <color rgb="FFD9D9D9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</border>
    <border>
      <top style="thin">
        <color rgb="FFEFEFEF"/>
      </top>
    </border>
    <border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left style="thin">
        <color rgb="FFEFEFEF"/>
      </left>
      <top style="thin">
        <color rgb="FFCCCCCC"/>
      </top>
      <bottom style="thin">
        <color rgb="FFEFEFEF"/>
      </bottom>
    </border>
    <border>
      <top style="thin">
        <color rgb="FFCCCCCC"/>
      </top>
      <bottom style="thin">
        <color rgb="FFEFEFEF"/>
      </bottom>
    </border>
    <border>
      <right style="thin">
        <color rgb="FF000000"/>
      </right>
      <top style="thin">
        <color rgb="FFCCCCCC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4" fillId="0" fontId="1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9" fillId="3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4" fillId="5" fontId="7" numFmtId="0" xfId="0" applyAlignment="1" applyBorder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6" fillId="5" fontId="7" numFmtId="0" xfId="0" applyAlignment="1" applyBorder="1" applyFont="1">
      <alignment horizontal="center" readingOrder="0" vertical="center"/>
    </xf>
    <xf borderId="7" fillId="4" fontId="1" numFmtId="0" xfId="0" applyAlignment="1" applyBorder="1" applyFont="1">
      <alignment horizontal="center" readingOrder="0" vertical="center"/>
    </xf>
    <xf borderId="0" fillId="0" fontId="8" numFmtId="0" xfId="0" applyFont="1"/>
    <xf borderId="0" fillId="0" fontId="2" numFmtId="9" xfId="0" applyAlignment="1" applyFont="1" applyNumberFormat="1">
      <alignment horizontal="center" vertical="center"/>
    </xf>
    <xf borderId="1" fillId="3" fontId="9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4" fillId="4" fontId="7" numFmtId="164" xfId="0" applyAlignment="1" applyBorder="1" applyFont="1" applyNumberFormat="1">
      <alignment horizontal="center" vertical="center"/>
    </xf>
    <xf borderId="0" fillId="4" fontId="7" numFmtId="164" xfId="0" applyAlignment="1" applyFont="1" applyNumberFormat="1">
      <alignment horizontal="center" vertical="center"/>
    </xf>
    <xf borderId="5" fillId="4" fontId="7" numFmtId="164" xfId="0" applyAlignment="1" applyBorder="1" applyFont="1" applyNumberFormat="1">
      <alignment horizontal="center" vertical="center"/>
    </xf>
    <xf borderId="6" fillId="4" fontId="7" numFmtId="165" xfId="0" applyAlignment="1" applyBorder="1" applyFont="1" applyNumberFormat="1">
      <alignment horizontal="center" readingOrder="0" vertical="center"/>
    </xf>
    <xf borderId="7" fillId="4" fontId="7" numFmtId="165" xfId="0" applyAlignment="1" applyBorder="1" applyFont="1" applyNumberFormat="1">
      <alignment horizontal="center" readingOrder="0" vertical="center"/>
    </xf>
    <xf borderId="8" fillId="4" fontId="7" numFmtId="165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15" fillId="4" fontId="1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18" fillId="4" fontId="1" numFmtId="0" xfId="0" applyAlignment="1" applyBorder="1" applyFont="1">
      <alignment horizontal="center" readingOrder="0" vertical="center"/>
    </xf>
    <xf borderId="19" fillId="4" fontId="1" numFmtId="0" xfId="0" applyAlignment="1" applyBorder="1" applyFont="1">
      <alignment horizontal="center" readingOrder="0" vertical="center"/>
    </xf>
    <xf borderId="20" fillId="0" fontId="4" numFmtId="0" xfId="0" applyBorder="1" applyFont="1"/>
    <xf borderId="21" fillId="0" fontId="4" numFmtId="0" xfId="0" applyBorder="1" applyFont="1"/>
    <xf borderId="22" fillId="4" fontId="1" numFmtId="0" xfId="0" applyAlignment="1" applyBorder="1" applyFont="1">
      <alignment horizontal="center" readingOrder="0" vertical="center"/>
    </xf>
    <xf borderId="23" fillId="4" fontId="1" numFmtId="0" xfId="0" applyAlignment="1" applyBorder="1" applyFont="1">
      <alignment horizontal="center" readingOrder="0" vertical="center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4" fontId="7" numFmtId="0" xfId="0" applyAlignment="1" applyBorder="1" applyFont="1">
      <alignment horizontal="center" readingOrder="0" vertical="center"/>
    </xf>
    <xf borderId="22" fillId="4" fontId="1" numFmtId="0" xfId="0" applyAlignment="1" applyBorder="1" applyFont="1">
      <alignment horizontal="center" vertical="center"/>
    </xf>
    <xf borderId="30" fillId="4" fontId="1" numFmtId="0" xfId="0" applyAlignment="1" applyBorder="1" applyFont="1">
      <alignment horizontal="center" vertical="center"/>
    </xf>
    <xf borderId="31" fillId="4" fontId="1" numFmtId="0" xfId="0" applyAlignment="1" applyBorder="1" applyFont="1">
      <alignment horizontal="center" vertical="center"/>
    </xf>
    <xf borderId="32" fillId="4" fontId="1" numFmtId="0" xfId="0" applyAlignment="1" applyBorder="1" applyFont="1">
      <alignment horizontal="center" vertical="center"/>
    </xf>
    <xf borderId="33" fillId="4" fontId="7" numFmtId="0" xfId="0" applyAlignment="1" applyBorder="1" applyFont="1">
      <alignment horizontal="center" readingOrder="0" vertical="center"/>
    </xf>
    <xf borderId="34" fillId="0" fontId="4" numFmtId="0" xfId="0" applyBorder="1" applyFont="1"/>
    <xf borderId="35" fillId="0" fontId="4" numFmtId="0" xfId="0" applyBorder="1" applyFont="1"/>
    <xf borderId="29" fillId="4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horizontal="center" vertical="center"/>
    </xf>
    <xf borderId="29" fillId="4" fontId="1" numFmtId="9" xfId="0" applyAlignment="1" applyBorder="1" applyFont="1" applyNumberFormat="1">
      <alignment horizontal="center" vertical="center"/>
    </xf>
    <xf borderId="24" fillId="4" fontId="1" numFmtId="9" xfId="0" applyAlignment="1" applyBorder="1" applyFont="1" applyNumberFormat="1">
      <alignment horizontal="center" vertical="center"/>
    </xf>
    <xf borderId="36" fillId="4" fontId="1" numFmtId="0" xfId="0" applyAlignment="1" applyBorder="1" applyFont="1">
      <alignment horizontal="center" readingOrder="0" vertical="center"/>
    </xf>
    <xf borderId="37" fillId="4" fontId="1" numFmtId="0" xfId="0" applyAlignment="1" applyBorder="1" applyFont="1">
      <alignment horizontal="center" readingOrder="0" vertical="center"/>
    </xf>
    <xf borderId="38" fillId="4" fontId="1" numFmtId="0" xfId="0" applyAlignment="1" applyBorder="1" applyFont="1">
      <alignment horizontal="center" readingOrder="0" vertical="center"/>
    </xf>
    <xf borderId="39" fillId="0" fontId="4" numFmtId="0" xfId="0" applyBorder="1" applyFont="1"/>
    <xf borderId="40" fillId="0" fontId="4" numFmtId="0" xfId="0" applyBorder="1" applyFont="1"/>
    <xf borderId="39" fillId="4" fontId="1" numFmtId="0" xfId="0" applyAlignment="1" applyBorder="1" applyFont="1">
      <alignment horizontal="center" vertical="center"/>
    </xf>
    <xf borderId="38" fillId="4" fontId="1" numFmtId="0" xfId="0" applyAlignment="1" applyBorder="1" applyFont="1">
      <alignment horizontal="center" vertical="center"/>
    </xf>
    <xf borderId="0" fillId="6" fontId="11" numFmtId="0" xfId="0" applyAlignment="1" applyFill="1" applyFont="1">
      <alignment horizontal="center" vertical="center"/>
    </xf>
    <xf borderId="0" fillId="6" fontId="11" numFmtId="0" xfId="0" applyAlignment="1" applyFont="1">
      <alignment horizontal="center" readingOrder="0" vertical="center"/>
    </xf>
    <xf borderId="0" fillId="7" fontId="12" numFmtId="0" xfId="0" applyAlignment="1" applyFill="1" applyFont="1">
      <alignment horizontal="center" vertical="center"/>
    </xf>
    <xf borderId="0" fillId="7" fontId="13" numFmtId="0" xfId="0" applyAlignment="1" applyFont="1">
      <alignment horizontal="center" readingOrder="0" vertical="center"/>
    </xf>
    <xf borderId="0" fillId="7" fontId="12" numFmtId="0" xfId="0" applyAlignment="1" applyFont="1">
      <alignment horizontal="center" vertical="center"/>
    </xf>
    <xf borderId="2" fillId="3" fontId="5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textRotation="90" vertical="center"/>
    </xf>
    <xf borderId="2" fillId="3" fontId="7" numFmtId="0" xfId="0" applyAlignment="1" applyBorder="1" applyFont="1">
      <alignment horizontal="center" readingOrder="0" textRotation="90" vertical="center"/>
    </xf>
    <xf borderId="2" fillId="3" fontId="7" numFmtId="10" xfId="0" applyAlignment="1" applyBorder="1" applyFont="1" applyNumberFormat="1">
      <alignment horizontal="center" readingOrder="0" textRotation="90" vertical="center"/>
    </xf>
    <xf borderId="2" fillId="3" fontId="14" numFmtId="0" xfId="0" applyAlignment="1" applyBorder="1" applyFont="1">
      <alignment horizontal="center" readingOrder="0" vertical="center"/>
    </xf>
    <xf borderId="0" fillId="3" fontId="14" numFmtId="0" xfId="0" applyAlignment="1" applyFont="1">
      <alignment horizontal="center" readingOrder="0" vertical="center"/>
    </xf>
    <xf borderId="4" fillId="0" fontId="7" numFmtId="164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5" fillId="0" fontId="7" numFmtId="164" xfId="0" applyAlignment="1" applyBorder="1" applyFont="1" applyNumberFormat="1">
      <alignment horizontal="center" vertical="center"/>
    </xf>
    <xf borderId="6" fillId="0" fontId="7" numFmtId="165" xfId="0" applyAlignment="1" applyBorder="1" applyFont="1" applyNumberFormat="1">
      <alignment horizontal="center" readingOrder="0" vertical="center"/>
    </xf>
    <xf borderId="7" fillId="0" fontId="7" numFmtId="165" xfId="0" applyAlignment="1" applyBorder="1" applyFont="1" applyNumberFormat="1">
      <alignment horizontal="center" readingOrder="0" vertical="center"/>
    </xf>
    <xf borderId="8" fillId="0" fontId="7" numFmtId="165" xfId="0" applyAlignment="1" applyBorder="1" applyFont="1" applyNumberFormat="1">
      <alignment horizontal="center" readingOrder="0" vertical="center"/>
    </xf>
    <xf borderId="41" fillId="4" fontId="15" numFmtId="0" xfId="0" applyAlignment="1" applyBorder="1" applyFont="1">
      <alignment horizontal="center" readingOrder="0" vertical="center"/>
    </xf>
    <xf borderId="42" fillId="0" fontId="4" numFmtId="0" xfId="0" applyBorder="1" applyFont="1"/>
    <xf borderId="43" fillId="0" fontId="4" numFmtId="0" xfId="0" applyBorder="1" applyFont="1"/>
    <xf borderId="41" fillId="0" fontId="15" numFmtId="0" xfId="0" applyAlignment="1" applyBorder="1" applyFont="1">
      <alignment horizontal="center" readingOrder="0" vertical="center"/>
    </xf>
    <xf borderId="44" fillId="0" fontId="16" numFmtId="0" xfId="0" applyAlignment="1" applyBorder="1" applyFont="1">
      <alignment horizontal="center" readingOrder="0" vertical="center"/>
    </xf>
    <xf borderId="45" fillId="0" fontId="16" numFmtId="0" xfId="0" applyAlignment="1" applyBorder="1" applyFont="1">
      <alignment horizontal="center" readingOrder="0" vertical="center"/>
    </xf>
    <xf borderId="46" fillId="0" fontId="16" numFmtId="0" xfId="0" applyAlignment="1" applyBorder="1" applyFont="1">
      <alignment horizontal="center" readingOrder="0" vertical="center"/>
    </xf>
    <xf borderId="47" fillId="0" fontId="16" numFmtId="0" xfId="0" applyAlignment="1" applyBorder="1" applyFont="1">
      <alignment horizontal="center" readingOrder="0" vertical="center"/>
    </xf>
    <xf borderId="44" fillId="4" fontId="1" numFmtId="0" xfId="0" applyAlignment="1" applyBorder="1" applyFont="1">
      <alignment horizontal="center" vertical="center"/>
    </xf>
    <xf borderId="45" fillId="4" fontId="1" numFmtId="0" xfId="0" applyAlignment="1" applyBorder="1" applyFont="1">
      <alignment horizontal="center" vertical="center"/>
    </xf>
    <xf borderId="45" fillId="4" fontId="1" numFmtId="9" xfId="0" applyAlignment="1" applyBorder="1" applyFont="1" applyNumberFormat="1">
      <alignment horizontal="center" vertical="center"/>
    </xf>
    <xf borderId="48" fillId="4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26" fillId="4" fontId="15" numFmtId="0" xfId="0" applyAlignment="1" applyBorder="1" applyFont="1">
      <alignment horizontal="center" readingOrder="0" vertical="center"/>
    </xf>
    <xf borderId="26" fillId="0" fontId="15" numFmtId="0" xfId="0" applyAlignment="1" applyBorder="1" applyFont="1">
      <alignment horizontal="center" readingOrder="0" vertical="center"/>
    </xf>
    <xf borderId="22" fillId="0" fontId="16" numFmtId="0" xfId="0" applyAlignment="1" applyBorder="1" applyFont="1">
      <alignment horizontal="center" readingOrder="0" vertical="center"/>
    </xf>
    <xf borderId="30" fillId="0" fontId="16" numFmtId="0" xfId="0" applyAlignment="1" applyBorder="1" applyFont="1">
      <alignment horizontal="center" readingOrder="0" vertical="center"/>
    </xf>
    <xf borderId="31" fillId="0" fontId="16" numFmtId="0" xfId="0" applyAlignment="1" applyBorder="1" applyFont="1">
      <alignment horizontal="center" readingOrder="0" vertical="center"/>
    </xf>
    <xf borderId="32" fillId="0" fontId="16" numFmtId="0" xfId="0" applyAlignment="1" applyBorder="1" applyFont="1">
      <alignment horizontal="center" readingOrder="0" vertical="center"/>
    </xf>
    <xf borderId="30" fillId="4" fontId="1" numFmtId="9" xfId="0" applyAlignment="1" applyBorder="1" applyFont="1" applyNumberFormat="1">
      <alignment horizontal="center" vertical="center"/>
    </xf>
    <xf borderId="49" fillId="4" fontId="1" numFmtId="0" xfId="0" applyAlignment="1" applyBorder="1" applyFont="1">
      <alignment horizontal="center" vertical="center"/>
    </xf>
    <xf borderId="50" fillId="0" fontId="4" numFmtId="0" xfId="0" applyBorder="1" applyFont="1"/>
    <xf borderId="51" fillId="0" fontId="4" numFmtId="0" xfId="0" applyBorder="1" applyFont="1"/>
    <xf borderId="30" fillId="0" fontId="16" numFmtId="0" xfId="0" applyAlignment="1" applyBorder="1" applyFont="1">
      <alignment horizontal="center" vertical="center"/>
    </xf>
    <xf borderId="22" fillId="0" fontId="16" numFmtId="0" xfId="0" applyAlignment="1" applyBorder="1" applyFont="1">
      <alignment horizontal="center" vertical="center"/>
    </xf>
    <xf borderId="31" fillId="0" fontId="16" numFmtId="0" xfId="0" applyAlignment="1" applyBorder="1" applyFont="1">
      <alignment horizontal="center" vertical="center"/>
    </xf>
    <xf borderId="32" fillId="0" fontId="16" numFmtId="0" xfId="0" applyAlignment="1" applyBorder="1" applyFont="1">
      <alignment horizontal="center" vertical="center"/>
    </xf>
    <xf borderId="6" fillId="4" fontId="15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readingOrder="0" vertical="center"/>
    </xf>
    <xf borderId="52" fillId="0" fontId="16" numFmtId="0" xfId="0" applyAlignment="1" applyBorder="1" applyFont="1">
      <alignment horizontal="center" vertical="center"/>
    </xf>
    <xf borderId="53" fillId="0" fontId="16" numFmtId="0" xfId="0" applyAlignment="1" applyBorder="1" applyFont="1">
      <alignment horizontal="center" vertical="center"/>
    </xf>
    <xf borderId="54" fillId="0" fontId="16" numFmtId="0" xfId="0" applyAlignment="1" applyBorder="1" applyFont="1">
      <alignment horizontal="center" vertical="center"/>
    </xf>
    <xf borderId="55" fillId="0" fontId="16" numFmtId="0" xfId="0" applyAlignment="1" applyBorder="1" applyFont="1">
      <alignment horizontal="center" vertical="center"/>
    </xf>
    <xf borderId="54" fillId="0" fontId="16" numFmtId="0" xfId="0" applyAlignment="1" applyBorder="1" applyFont="1">
      <alignment horizontal="center" readingOrder="0" vertical="center"/>
    </xf>
    <xf borderId="52" fillId="4" fontId="1" numFmtId="0" xfId="0" applyAlignment="1" applyBorder="1" applyFont="1">
      <alignment horizontal="center" vertical="center"/>
    </xf>
    <xf borderId="53" fillId="4" fontId="1" numFmtId="0" xfId="0" applyAlignment="1" applyBorder="1" applyFont="1">
      <alignment horizontal="center" vertical="center"/>
    </xf>
    <xf borderId="53" fillId="4" fontId="1" numFmtId="9" xfId="0" applyAlignment="1" applyBorder="1" applyFont="1" applyNumberFormat="1">
      <alignment horizontal="center" vertical="center"/>
    </xf>
    <xf borderId="56" fillId="4" fontId="1" numFmtId="0" xfId="0" applyAlignment="1" applyBorder="1" applyFont="1">
      <alignment horizontal="center" vertical="center"/>
    </xf>
    <xf borderId="57" fillId="0" fontId="4" numFmtId="0" xfId="0" applyBorder="1" applyFont="1"/>
    <xf borderId="5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7AA7D1">
                <a:alpha val="30000"/>
              </a:srgbClr>
            </a:solidFill>
            <a:ln cmpd="sng">
              <a:solidFill>
                <a:srgbClr val="7AA7D1">
                  <a:alpha val="100000"/>
                </a:srgbClr>
              </a:solidFill>
            </a:ln>
          </c:spPr>
          <c:val>
            <c:numRef>
              <c:f>'Habit Tracker'!$K$12:$AO$12</c:f>
              <c:numCache/>
            </c:numRef>
          </c:val>
        </c:ser>
        <c:axId val="1796850816"/>
        <c:axId val="1900013305"/>
      </c:areaChart>
      <c:catAx>
        <c:axId val="179685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A3A3A"/>
                    </a:solidFill>
                    <a:latin typeface="+mn-lt"/>
                  </a:defRPr>
                </a:pPr>
                <a:r>
                  <a:rPr b="0">
                    <a:solidFill>
                      <a:srgbClr val="3A3A3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A3A3A"/>
                </a:solidFill>
                <a:latin typeface="+mn-lt"/>
              </a:defRPr>
            </a:pPr>
          </a:p>
        </c:txPr>
        <c:crossAx val="1900013305"/>
      </c:catAx>
      <c:valAx>
        <c:axId val="1900013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A3A3A"/>
                    </a:solidFill>
                    <a:latin typeface="+mn-lt"/>
                  </a:defRPr>
                </a:pPr>
                <a:r>
                  <a:rPr b="0">
                    <a:solidFill>
                      <a:srgbClr val="3A3A3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A3A3A"/>
                </a:solidFill>
                <a:latin typeface="+mn-lt"/>
              </a:defRPr>
            </a:pPr>
          </a:p>
        </c:txPr>
        <c:crossAx val="1796850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E4E4E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7AA7D1"/>
              </a:solidFill>
            </c:spPr>
          </c:dPt>
          <c:dPt>
            <c:idx val="1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Tracker'!$BG$2:$BG$3</c:f>
            </c:strRef>
          </c:cat>
          <c:val>
            <c:numRef>
              <c:f>'Habit Tracker'!$BH$2:$BH$3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E4E4E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180975</xdr:rowOff>
    </xdr:from>
    <xdr:ext cx="9763125" cy="2000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43</xdr:col>
      <xdr:colOff>19050</xdr:colOff>
      <xdr:row>3</xdr:row>
      <xdr:rowOff>9525</xdr:rowOff>
    </xdr:from>
    <xdr:ext cx="2771775" cy="1533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A3A3A"/>
      </a:dk1>
      <a:lt1>
        <a:srgbClr val="F5F7FA"/>
      </a:lt1>
      <a:dk2>
        <a:srgbClr val="3A3A3A"/>
      </a:dk2>
      <a:lt2>
        <a:srgbClr val="F5F7FA"/>
      </a:lt2>
      <a:accent1>
        <a:srgbClr val="DDEBF7"/>
      </a:accent1>
      <a:accent2>
        <a:srgbClr val="E4F7E7"/>
      </a:accent2>
      <a:accent3>
        <a:srgbClr val="FFF9D6"/>
      </a:accent3>
      <a:accent4>
        <a:srgbClr val="FDE7E9"/>
      </a:accent4>
      <a:accent5>
        <a:srgbClr val="F3EDFF"/>
      </a:accent5>
      <a:accent6>
        <a:srgbClr val="FFEDE1"/>
      </a:accent6>
      <a:hlink>
        <a:srgbClr val="7CB5FF"/>
      </a:hlink>
      <a:folHlink>
        <a:srgbClr val="7CB5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b6wSsliY_Ea9qXGE8EgEhvdAh3nQ3TY/view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101" width="4.13"/>
  </cols>
  <sheetData>
    <row r="1" ht="15.75" customHeight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3"/>
      <c r="BB1" s="4"/>
      <c r="BC1" s="5" t="s">
        <v>2</v>
      </c>
      <c r="BD1" s="4">
        <v>1.0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ht="15.75" customHeight="1">
      <c r="A2" s="1"/>
      <c r="B2" s="6" t="s">
        <v>3</v>
      </c>
      <c r="C2" s="7"/>
      <c r="D2" s="7"/>
      <c r="E2" s="7"/>
      <c r="F2" s="7"/>
      <c r="G2" s="7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9" t="s">
        <v>4</v>
      </c>
      <c r="AS2" s="7"/>
      <c r="AT2" s="7"/>
      <c r="AU2" s="7"/>
      <c r="AV2" s="7"/>
      <c r="AW2" s="7"/>
      <c r="AX2" s="7"/>
      <c r="AY2" s="7"/>
      <c r="AZ2" s="8"/>
      <c r="BA2" s="3"/>
      <c r="BB2" s="4"/>
      <c r="BC2" s="5" t="s">
        <v>5</v>
      </c>
      <c r="BD2" s="4">
        <v>2.0</v>
      </c>
      <c r="BE2" s="3"/>
      <c r="BF2" s="3"/>
      <c r="BG2" s="10" t="s">
        <v>6</v>
      </c>
      <c r="BH2" s="3">
        <f>SUM(AR37:AR61)</f>
        <v>2</v>
      </c>
      <c r="BI2" s="3"/>
      <c r="BJ2" s="3"/>
      <c r="BK2" s="3"/>
      <c r="BL2" s="3"/>
      <c r="BM2" s="3"/>
      <c r="BN2" s="3"/>
      <c r="BO2" s="3"/>
      <c r="BP2" s="3"/>
      <c r="BQ2" s="3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</row>
    <row r="3" ht="15.75" customHeight="1">
      <c r="A3" s="1"/>
      <c r="B3" s="11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3"/>
      <c r="AS3" s="14"/>
      <c r="AT3" s="14"/>
      <c r="AU3" s="14"/>
      <c r="AV3" s="14"/>
      <c r="AW3" s="14"/>
      <c r="AX3" s="14"/>
      <c r="AY3" s="14"/>
      <c r="AZ3" s="15"/>
      <c r="BA3" s="3"/>
      <c r="BB3" s="4"/>
      <c r="BC3" s="5" t="s">
        <v>7</v>
      </c>
      <c r="BD3" s="4">
        <v>3.0</v>
      </c>
      <c r="BE3" s="3"/>
      <c r="BF3" s="3"/>
      <c r="BG3" s="10" t="s">
        <v>8</v>
      </c>
      <c r="BH3" s="3">
        <f>SUM(AS37:AS61)</f>
        <v>182</v>
      </c>
      <c r="BI3" s="3"/>
      <c r="BJ3" s="3"/>
      <c r="BK3" s="3"/>
      <c r="BL3" s="3"/>
      <c r="BM3" s="3"/>
      <c r="BN3" s="3"/>
      <c r="BO3" s="3"/>
      <c r="BP3" s="3"/>
      <c r="BQ3" s="3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ht="15.75" customHeight="1">
      <c r="A4" s="1"/>
      <c r="B4" s="13"/>
      <c r="C4" s="14"/>
      <c r="D4" s="14"/>
      <c r="E4" s="14"/>
      <c r="F4" s="14"/>
      <c r="G4" s="14"/>
      <c r="H4" s="1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6"/>
      <c r="AZ4" s="12"/>
      <c r="BA4" s="3"/>
      <c r="BB4" s="4"/>
      <c r="BC4" s="5" t="s">
        <v>9</v>
      </c>
      <c r="BD4" s="4">
        <v>4.0</v>
      </c>
      <c r="BE4" s="3"/>
      <c r="BF4" s="3"/>
      <c r="BG4" s="10" t="s">
        <v>10</v>
      </c>
      <c r="BH4" s="3">
        <f>SUM(I37:J61)</f>
        <v>184</v>
      </c>
      <c r="BI4" s="3"/>
      <c r="BJ4" s="3"/>
      <c r="BK4" s="3"/>
      <c r="BL4" s="3"/>
      <c r="BM4" s="3"/>
      <c r="BN4" s="3"/>
      <c r="BO4" s="3"/>
      <c r="BP4" s="3"/>
      <c r="BQ4" s="3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ht="15.75" customHeight="1">
      <c r="A5" s="1"/>
      <c r="B5" s="17" t="str">
        <f>CONCATENATE("- ",E11," -")</f>
        <v>- December -</v>
      </c>
      <c r="C5" s="7"/>
      <c r="D5" s="7"/>
      <c r="E5" s="7"/>
      <c r="F5" s="7"/>
      <c r="G5" s="7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1"/>
      <c r="AZ5" s="12"/>
      <c r="BA5" s="3"/>
      <c r="BB5" s="4"/>
      <c r="BC5" s="5" t="s">
        <v>11</v>
      </c>
      <c r="BD5" s="4">
        <v>5.0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ht="15.75" customHeight="1">
      <c r="A6" s="1"/>
      <c r="B6" s="13"/>
      <c r="C6" s="14"/>
      <c r="D6" s="14"/>
      <c r="E6" s="14"/>
      <c r="F6" s="14"/>
      <c r="G6" s="14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1"/>
      <c r="AZ6" s="12"/>
      <c r="BA6" s="3"/>
      <c r="BB6" s="4"/>
      <c r="BC6" s="5" t="s">
        <v>12</v>
      </c>
      <c r="BD6" s="4">
        <v>6.0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1"/>
      <c r="AZ7" s="12"/>
      <c r="BA7" s="3"/>
      <c r="BB7" s="4"/>
      <c r="BC7" s="5" t="s">
        <v>13</v>
      </c>
      <c r="BD7" s="4">
        <v>7.0</v>
      </c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1"/>
      <c r="AZ8" s="12"/>
      <c r="BA8" s="3"/>
      <c r="BB8" s="4"/>
      <c r="BC8" s="5" t="s">
        <v>14</v>
      </c>
      <c r="BD8" s="4">
        <v>8.0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ht="15.75" customHeight="1">
      <c r="A9" s="1"/>
      <c r="B9" s="18" t="s">
        <v>15</v>
      </c>
      <c r="C9" s="19"/>
      <c r="D9" s="19"/>
      <c r="E9" s="19"/>
      <c r="F9" s="19"/>
      <c r="G9" s="19"/>
      <c r="H9" s="2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1"/>
      <c r="AZ9" s="12"/>
      <c r="BA9" s="3"/>
      <c r="BB9" s="4"/>
      <c r="BC9" s="5" t="s">
        <v>16</v>
      </c>
      <c r="BD9" s="4">
        <v>9.0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ht="15.75" customHeight="1">
      <c r="A10" s="1"/>
      <c r="B10" s="21" t="s">
        <v>17</v>
      </c>
      <c r="E10" s="22">
        <v>2026.0</v>
      </c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1"/>
      <c r="AZ10" s="12"/>
      <c r="BA10" s="3"/>
      <c r="BB10" s="4"/>
      <c r="BC10" s="5" t="s">
        <v>18</v>
      </c>
      <c r="BD10" s="4">
        <v>10.0</v>
      </c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ht="15.75" customHeight="1">
      <c r="A11" s="1"/>
      <c r="B11" s="23" t="s">
        <v>19</v>
      </c>
      <c r="C11" s="14"/>
      <c r="D11" s="14"/>
      <c r="E11" s="24" t="s">
        <v>20</v>
      </c>
      <c r="F11" s="14"/>
      <c r="G11" s="14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3"/>
      <c r="AS11" s="14"/>
      <c r="AT11" s="14"/>
      <c r="AU11" s="14"/>
      <c r="AV11" s="14"/>
      <c r="AW11" s="14"/>
      <c r="AX11" s="14"/>
      <c r="AY11" s="14"/>
      <c r="AZ11" s="15"/>
      <c r="BA11" s="3"/>
      <c r="BB11" s="4"/>
      <c r="BC11" s="5" t="s">
        <v>21</v>
      </c>
      <c r="BD11" s="4">
        <v>11.0</v>
      </c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25"/>
      <c r="K12" s="26">
        <f t="shared" ref="K12:AO12" si="1">IFERROR(K23/K24,0)</f>
        <v>0.05882352941</v>
      </c>
      <c r="L12" s="26">
        <f t="shared" si="1"/>
        <v>0.05882352941</v>
      </c>
      <c r="M12" s="26">
        <f t="shared" si="1"/>
        <v>0</v>
      </c>
      <c r="N12" s="26">
        <f t="shared" si="1"/>
        <v>0</v>
      </c>
      <c r="O12" s="26">
        <f t="shared" si="1"/>
        <v>0</v>
      </c>
      <c r="P12" s="26">
        <f t="shared" si="1"/>
        <v>0</v>
      </c>
      <c r="Q12" s="26">
        <f t="shared" si="1"/>
        <v>0</v>
      </c>
      <c r="R12" s="26">
        <f t="shared" si="1"/>
        <v>0</v>
      </c>
      <c r="S12" s="26">
        <f t="shared" si="1"/>
        <v>0</v>
      </c>
      <c r="T12" s="26">
        <f t="shared" si="1"/>
        <v>0</v>
      </c>
      <c r="U12" s="26">
        <f t="shared" si="1"/>
        <v>0</v>
      </c>
      <c r="V12" s="26">
        <f t="shared" si="1"/>
        <v>0</v>
      </c>
      <c r="W12" s="26">
        <f t="shared" si="1"/>
        <v>0</v>
      </c>
      <c r="X12" s="26">
        <f t="shared" si="1"/>
        <v>0</v>
      </c>
      <c r="Y12" s="26">
        <f t="shared" si="1"/>
        <v>0</v>
      </c>
      <c r="Z12" s="26">
        <f t="shared" si="1"/>
        <v>0</v>
      </c>
      <c r="AA12" s="26">
        <f t="shared" si="1"/>
        <v>0</v>
      </c>
      <c r="AB12" s="26">
        <f t="shared" si="1"/>
        <v>0</v>
      </c>
      <c r="AC12" s="26">
        <f t="shared" si="1"/>
        <v>0</v>
      </c>
      <c r="AD12" s="26">
        <f t="shared" si="1"/>
        <v>0</v>
      </c>
      <c r="AE12" s="26">
        <f t="shared" si="1"/>
        <v>0</v>
      </c>
      <c r="AF12" s="26">
        <f t="shared" si="1"/>
        <v>0</v>
      </c>
      <c r="AG12" s="26">
        <f t="shared" si="1"/>
        <v>0</v>
      </c>
      <c r="AH12" s="26">
        <f t="shared" si="1"/>
        <v>0</v>
      </c>
      <c r="AI12" s="26">
        <f t="shared" si="1"/>
        <v>0</v>
      </c>
      <c r="AJ12" s="26">
        <f t="shared" si="1"/>
        <v>0</v>
      </c>
      <c r="AK12" s="26">
        <f t="shared" si="1"/>
        <v>0</v>
      </c>
      <c r="AL12" s="26">
        <f t="shared" si="1"/>
        <v>0</v>
      </c>
      <c r="AM12" s="26">
        <f t="shared" si="1"/>
        <v>0</v>
      </c>
      <c r="AN12" s="26">
        <f t="shared" si="1"/>
        <v>0</v>
      </c>
      <c r="AO12" s="26">
        <f t="shared" si="1"/>
        <v>0</v>
      </c>
      <c r="AP12" s="3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3"/>
      <c r="BB12" s="4"/>
      <c r="BC12" s="5" t="s">
        <v>20</v>
      </c>
      <c r="BD12" s="4">
        <v>12.0</v>
      </c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ht="15.75" customHeight="1">
      <c r="A13" s="1"/>
      <c r="B13" s="27" t="s">
        <v>22</v>
      </c>
      <c r="C13" s="7"/>
      <c r="D13" s="7"/>
      <c r="E13" s="7"/>
      <c r="F13" s="7"/>
      <c r="G13" s="7"/>
      <c r="H13" s="7"/>
      <c r="I13" s="7"/>
      <c r="J13" s="7"/>
      <c r="K13" s="28" t="s">
        <v>23</v>
      </c>
      <c r="L13" s="7"/>
      <c r="M13" s="7"/>
      <c r="N13" s="7"/>
      <c r="O13" s="7"/>
      <c r="P13" s="7"/>
      <c r="Q13" s="8"/>
      <c r="R13" s="28" t="s">
        <v>24</v>
      </c>
      <c r="S13" s="7"/>
      <c r="T13" s="7"/>
      <c r="U13" s="7"/>
      <c r="V13" s="7"/>
      <c r="W13" s="7"/>
      <c r="X13" s="8"/>
      <c r="Y13" s="28" t="s">
        <v>25</v>
      </c>
      <c r="Z13" s="7"/>
      <c r="AA13" s="7"/>
      <c r="AB13" s="7"/>
      <c r="AC13" s="7"/>
      <c r="AD13" s="7"/>
      <c r="AE13" s="8"/>
      <c r="AF13" s="28" t="s">
        <v>26</v>
      </c>
      <c r="AG13" s="7"/>
      <c r="AH13" s="7"/>
      <c r="AI13" s="7"/>
      <c r="AJ13" s="7"/>
      <c r="AK13" s="7"/>
      <c r="AL13" s="8"/>
      <c r="AM13" s="29" t="s">
        <v>27</v>
      </c>
      <c r="AN13" s="7"/>
      <c r="AO13" s="8"/>
      <c r="AP13" s="1"/>
      <c r="AQ13" s="1"/>
      <c r="AR13" s="30" t="s">
        <v>28</v>
      </c>
      <c r="AS13" s="7"/>
      <c r="AT13" s="7"/>
      <c r="AU13" s="7"/>
      <c r="AV13" s="7"/>
      <c r="AW13" s="7"/>
      <c r="AX13" s="7"/>
      <c r="AY13" s="7"/>
      <c r="AZ13" s="8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ht="15.75" customHeight="1">
      <c r="A14" s="1"/>
      <c r="B14" s="11"/>
      <c r="K14" s="31"/>
      <c r="L14" s="32"/>
      <c r="M14" s="32"/>
      <c r="N14" s="32"/>
      <c r="O14" s="32"/>
      <c r="P14" s="32"/>
      <c r="Q14" s="33"/>
      <c r="R14" s="31"/>
      <c r="S14" s="32"/>
      <c r="T14" s="32"/>
      <c r="U14" s="32"/>
      <c r="V14" s="32"/>
      <c r="W14" s="32"/>
      <c r="X14" s="33"/>
      <c r="Y14" s="31"/>
      <c r="Z14" s="32"/>
      <c r="AA14" s="32"/>
      <c r="AB14" s="32"/>
      <c r="AC14" s="32"/>
      <c r="AD14" s="32"/>
      <c r="AE14" s="33"/>
      <c r="AF14" s="31"/>
      <c r="AG14" s="32"/>
      <c r="AH14" s="32"/>
      <c r="AI14" s="32"/>
      <c r="AJ14" s="32"/>
      <c r="AK14" s="32"/>
      <c r="AL14" s="33"/>
      <c r="AM14" s="32"/>
      <c r="AN14" s="32"/>
      <c r="AO14" s="33"/>
      <c r="AP14" s="1"/>
      <c r="AQ14" s="1"/>
      <c r="AR14" s="11"/>
      <c r="AZ14" s="12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ht="15.75" customHeight="1">
      <c r="A15" s="1"/>
      <c r="B15" s="11"/>
      <c r="K15" s="34">
        <f t="shared" ref="K15:AO15" si="2">K16</f>
        <v>46357</v>
      </c>
      <c r="L15" s="35">
        <f t="shared" si="2"/>
        <v>46358</v>
      </c>
      <c r="M15" s="35">
        <f t="shared" si="2"/>
        <v>46359</v>
      </c>
      <c r="N15" s="35">
        <f t="shared" si="2"/>
        <v>46360</v>
      </c>
      <c r="O15" s="35">
        <f t="shared" si="2"/>
        <v>46361</v>
      </c>
      <c r="P15" s="35">
        <f t="shared" si="2"/>
        <v>46362</v>
      </c>
      <c r="Q15" s="36">
        <f t="shared" si="2"/>
        <v>46363</v>
      </c>
      <c r="R15" s="34">
        <f t="shared" si="2"/>
        <v>46364</v>
      </c>
      <c r="S15" s="35">
        <f t="shared" si="2"/>
        <v>46365</v>
      </c>
      <c r="T15" s="35">
        <f t="shared" si="2"/>
        <v>46366</v>
      </c>
      <c r="U15" s="35">
        <f t="shared" si="2"/>
        <v>46367</v>
      </c>
      <c r="V15" s="35">
        <f t="shared" si="2"/>
        <v>46368</v>
      </c>
      <c r="W15" s="35">
        <f t="shared" si="2"/>
        <v>46369</v>
      </c>
      <c r="X15" s="36">
        <f t="shared" si="2"/>
        <v>46370</v>
      </c>
      <c r="Y15" s="34">
        <f t="shared" si="2"/>
        <v>46371</v>
      </c>
      <c r="Z15" s="35">
        <f t="shared" si="2"/>
        <v>46372</v>
      </c>
      <c r="AA15" s="35">
        <f t="shared" si="2"/>
        <v>46373</v>
      </c>
      <c r="AB15" s="35">
        <f t="shared" si="2"/>
        <v>46374</v>
      </c>
      <c r="AC15" s="35">
        <f t="shared" si="2"/>
        <v>46375</v>
      </c>
      <c r="AD15" s="35">
        <f t="shared" si="2"/>
        <v>46376</v>
      </c>
      <c r="AE15" s="36">
        <f t="shared" si="2"/>
        <v>46377</v>
      </c>
      <c r="AF15" s="34">
        <f t="shared" si="2"/>
        <v>46378</v>
      </c>
      <c r="AG15" s="35">
        <f t="shared" si="2"/>
        <v>46379</v>
      </c>
      <c r="AH15" s="35">
        <f t="shared" si="2"/>
        <v>46380</v>
      </c>
      <c r="AI15" s="35">
        <f t="shared" si="2"/>
        <v>46381</v>
      </c>
      <c r="AJ15" s="35">
        <f t="shared" si="2"/>
        <v>46382</v>
      </c>
      <c r="AK15" s="35">
        <f t="shared" si="2"/>
        <v>46383</v>
      </c>
      <c r="AL15" s="36">
        <f t="shared" si="2"/>
        <v>46384</v>
      </c>
      <c r="AM15" s="35">
        <f t="shared" si="2"/>
        <v>46385</v>
      </c>
      <c r="AN15" s="35">
        <f t="shared" si="2"/>
        <v>46386</v>
      </c>
      <c r="AO15" s="36">
        <f t="shared" si="2"/>
        <v>46387</v>
      </c>
      <c r="AP15" s="1"/>
      <c r="AQ15" s="1"/>
      <c r="AR15" s="11"/>
      <c r="AZ15" s="12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ht="15.75" customHeight="1">
      <c r="A16" s="1"/>
      <c r="B16" s="13"/>
      <c r="C16" s="14"/>
      <c r="D16" s="14"/>
      <c r="E16" s="14"/>
      <c r="F16" s="14"/>
      <c r="G16" s="14"/>
      <c r="H16" s="14"/>
      <c r="I16" s="14"/>
      <c r="J16" s="14"/>
      <c r="K16" s="37">
        <f>K36</f>
        <v>46357</v>
      </c>
      <c r="L16" s="38">
        <f t="shared" ref="L16:AO16" si="3">IF(MONTH(K16+1)=MONTH($K$36),K16+1,"")</f>
        <v>46358</v>
      </c>
      <c r="M16" s="38">
        <f t="shared" si="3"/>
        <v>46359</v>
      </c>
      <c r="N16" s="38">
        <f t="shared" si="3"/>
        <v>46360</v>
      </c>
      <c r="O16" s="38">
        <f t="shared" si="3"/>
        <v>46361</v>
      </c>
      <c r="P16" s="38">
        <f t="shared" si="3"/>
        <v>46362</v>
      </c>
      <c r="Q16" s="39">
        <f t="shared" si="3"/>
        <v>46363</v>
      </c>
      <c r="R16" s="37">
        <f t="shared" si="3"/>
        <v>46364</v>
      </c>
      <c r="S16" s="38">
        <f t="shared" si="3"/>
        <v>46365</v>
      </c>
      <c r="T16" s="38">
        <f t="shared" si="3"/>
        <v>46366</v>
      </c>
      <c r="U16" s="38">
        <f t="shared" si="3"/>
        <v>46367</v>
      </c>
      <c r="V16" s="38">
        <f t="shared" si="3"/>
        <v>46368</v>
      </c>
      <c r="W16" s="38">
        <f t="shared" si="3"/>
        <v>46369</v>
      </c>
      <c r="X16" s="39">
        <f t="shared" si="3"/>
        <v>46370</v>
      </c>
      <c r="Y16" s="37">
        <f t="shared" si="3"/>
        <v>46371</v>
      </c>
      <c r="Z16" s="38">
        <f t="shared" si="3"/>
        <v>46372</v>
      </c>
      <c r="AA16" s="38">
        <f t="shared" si="3"/>
        <v>46373</v>
      </c>
      <c r="AB16" s="38">
        <f t="shared" si="3"/>
        <v>46374</v>
      </c>
      <c r="AC16" s="38">
        <f t="shared" si="3"/>
        <v>46375</v>
      </c>
      <c r="AD16" s="38">
        <f t="shared" si="3"/>
        <v>46376</v>
      </c>
      <c r="AE16" s="39">
        <f t="shared" si="3"/>
        <v>46377</v>
      </c>
      <c r="AF16" s="37">
        <f t="shared" si="3"/>
        <v>46378</v>
      </c>
      <c r="AG16" s="38">
        <f t="shared" si="3"/>
        <v>46379</v>
      </c>
      <c r="AH16" s="38">
        <f t="shared" si="3"/>
        <v>46380</v>
      </c>
      <c r="AI16" s="38">
        <f t="shared" si="3"/>
        <v>46381</v>
      </c>
      <c r="AJ16" s="38">
        <f t="shared" si="3"/>
        <v>46382</v>
      </c>
      <c r="AK16" s="38">
        <f t="shared" si="3"/>
        <v>46383</v>
      </c>
      <c r="AL16" s="39">
        <f t="shared" si="3"/>
        <v>46384</v>
      </c>
      <c r="AM16" s="38">
        <f t="shared" si="3"/>
        <v>46385</v>
      </c>
      <c r="AN16" s="38">
        <f t="shared" si="3"/>
        <v>46386</v>
      </c>
      <c r="AO16" s="39">
        <f t="shared" si="3"/>
        <v>46387</v>
      </c>
      <c r="AP16" s="1"/>
      <c r="AQ16" s="1"/>
      <c r="AR16" s="13"/>
      <c r="AS16" s="14"/>
      <c r="AT16" s="14"/>
      <c r="AU16" s="14"/>
      <c r="AV16" s="14"/>
      <c r="AW16" s="14"/>
      <c r="AX16" s="14"/>
      <c r="AY16" s="14"/>
      <c r="AZ16" s="15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ht="15.75" customHeight="1">
      <c r="A17" s="1"/>
      <c r="B17" s="40" t="s">
        <v>29</v>
      </c>
      <c r="C17" s="7"/>
      <c r="D17" s="7"/>
      <c r="E17" s="7"/>
      <c r="F17" s="7"/>
      <c r="G17" s="7"/>
      <c r="H17" s="7"/>
      <c r="I17" s="7"/>
      <c r="J17" s="8"/>
      <c r="K17" s="41" t="str">
        <f>IFERROR(__xludf.DUMMYFUNCTION("SPARKLINE(K23:Q23,{""charttype"",""column"";""ymin"",0;""ymax"",COUNTIF($B$37:$H$61,""*"");""color"",""#A7C7E7""})"),"")</f>
        <v/>
      </c>
      <c r="L17" s="7"/>
      <c r="M17" s="7"/>
      <c r="N17" s="7"/>
      <c r="O17" s="7"/>
      <c r="P17" s="7"/>
      <c r="Q17" s="8"/>
      <c r="R17" s="41" t="str">
        <f>IFERROR(__xludf.DUMMYFUNCTION("SPARKLINE(R23:X23,{""charttype"",""column"";""ymin"",0;""ymax"",COUNTIF($B$37:$H$61,""*"");""color"",""#a7c7e7""})"),"")</f>
        <v/>
      </c>
      <c r="S17" s="7"/>
      <c r="T17" s="7"/>
      <c r="U17" s="7"/>
      <c r="V17" s="7"/>
      <c r="W17" s="7"/>
      <c r="X17" s="8"/>
      <c r="Y17" s="41" t="str">
        <f>IFERROR(__xludf.DUMMYFUNCTION("SPARKLINE(Y23:AE23,{""charttype"",""column"";""ymin"",0;""ymax"",COUNTIF($B$37:$H$61,""*"");""color"",""#a7c7e7""})"),"")</f>
        <v/>
      </c>
      <c r="Z17" s="7"/>
      <c r="AA17" s="7"/>
      <c r="AB17" s="7"/>
      <c r="AC17" s="7"/>
      <c r="AD17" s="7"/>
      <c r="AE17" s="8"/>
      <c r="AF17" s="41" t="str">
        <f>IFERROR(__xludf.DUMMYFUNCTION("SPARKLINE(AF23:AL23,{""charttype"",""column"";""ymin"",0;""ymax"",COUNTIF($B$37:$H$61,""*"");""color"",""#a7c7e7""})"),"")</f>
        <v/>
      </c>
      <c r="AG17" s="7"/>
      <c r="AH17" s="7"/>
      <c r="AI17" s="7"/>
      <c r="AJ17" s="7"/>
      <c r="AK17" s="7"/>
      <c r="AL17" s="8"/>
      <c r="AM17" s="42" t="str">
        <f>IFERROR(__xludf.DUMMYFUNCTION("SPARKLINE(AM29:AO29,{""charttype"",""column"";""ymin"",0;""ymax"",COUNTIF($B$37:$H$61,""*"");""color"",""#a7c7e7""})"),"")</f>
        <v/>
      </c>
      <c r="AO17" s="12"/>
      <c r="AP17" s="1"/>
      <c r="AQ17" s="2"/>
      <c r="AR17" s="43"/>
      <c r="AS17" s="44"/>
      <c r="AT17" s="44"/>
      <c r="AU17" s="44"/>
      <c r="AV17" s="44"/>
      <c r="AW17" s="44"/>
      <c r="AX17" s="44"/>
      <c r="AY17" s="44"/>
      <c r="AZ17" s="45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ht="15.75" customHeight="1">
      <c r="A18" s="1"/>
      <c r="B18" s="11"/>
      <c r="J18" s="12"/>
      <c r="K18" s="11"/>
      <c r="Q18" s="12"/>
      <c r="R18" s="11"/>
      <c r="X18" s="12"/>
      <c r="Y18" s="11"/>
      <c r="AE18" s="12"/>
      <c r="AF18" s="11"/>
      <c r="AL18" s="12"/>
      <c r="AO18" s="12"/>
      <c r="AP18" s="1"/>
      <c r="AQ18" s="2"/>
      <c r="AR18" s="46">
        <v>1.0</v>
      </c>
      <c r="AS18" s="47" t="str">
        <f t="shared" ref="AS18:AS27" si="4">IF(BG37="","",CONCATENATE(BG37))</f>
        <v>No Snoozing 🚫😴</v>
      </c>
      <c r="AT18" s="48"/>
      <c r="AU18" s="48"/>
      <c r="AV18" s="48"/>
      <c r="AW18" s="48"/>
      <c r="AX18" s="48"/>
      <c r="AY18" s="48"/>
      <c r="AZ18" s="49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ht="15.75" customHeight="1">
      <c r="A19" s="1"/>
      <c r="B19" s="11"/>
      <c r="J19" s="12"/>
      <c r="K19" s="11"/>
      <c r="Q19" s="12"/>
      <c r="R19" s="11"/>
      <c r="X19" s="12"/>
      <c r="Y19" s="11"/>
      <c r="AE19" s="12"/>
      <c r="AF19" s="11"/>
      <c r="AL19" s="12"/>
      <c r="AO19" s="12"/>
      <c r="AP19" s="1"/>
      <c r="AQ19" s="2"/>
      <c r="AR19" s="50">
        <v>2.0</v>
      </c>
      <c r="AS19" s="51" t="str">
        <f t="shared" si="4"/>
        <v>maths study </v>
      </c>
      <c r="AT19" s="52"/>
      <c r="AU19" s="52"/>
      <c r="AV19" s="52"/>
      <c r="AW19" s="52"/>
      <c r="AX19" s="52"/>
      <c r="AY19" s="52"/>
      <c r="AZ19" s="5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ht="15.75" customHeight="1">
      <c r="A20" s="1"/>
      <c r="B20" s="11"/>
      <c r="J20" s="12"/>
      <c r="K20" s="11"/>
      <c r="Q20" s="12"/>
      <c r="R20" s="11"/>
      <c r="X20" s="12"/>
      <c r="Y20" s="11"/>
      <c r="AE20" s="12"/>
      <c r="AF20" s="11"/>
      <c r="AL20" s="12"/>
      <c r="AO20" s="12"/>
      <c r="AP20" s="1"/>
      <c r="AQ20" s="2"/>
      <c r="AR20" s="50">
        <v>3.0</v>
      </c>
      <c r="AS20" s="51" t="str">
        <f t="shared" si="4"/>
        <v>Wake up at 6AM ⏰</v>
      </c>
      <c r="AT20" s="52"/>
      <c r="AU20" s="52"/>
      <c r="AV20" s="52"/>
      <c r="AW20" s="52"/>
      <c r="AX20" s="52"/>
      <c r="AY20" s="52"/>
      <c r="AZ20" s="5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ht="15.75" customHeight="1">
      <c r="A21" s="1"/>
      <c r="B21" s="11"/>
      <c r="J21" s="12"/>
      <c r="K21" s="11"/>
      <c r="Q21" s="12"/>
      <c r="R21" s="11"/>
      <c r="X21" s="12"/>
      <c r="Y21" s="11"/>
      <c r="AE21" s="12"/>
      <c r="AF21" s="11"/>
      <c r="AL21" s="12"/>
      <c r="AO21" s="12"/>
      <c r="AP21" s="1"/>
      <c r="AQ21" s="2"/>
      <c r="AR21" s="50">
        <v>4.0</v>
      </c>
      <c r="AS21" s="51" t="str">
        <f t="shared" si="4"/>
        <v>Drink 3L Water 💧</v>
      </c>
      <c r="AT21" s="52"/>
      <c r="AU21" s="52"/>
      <c r="AV21" s="52"/>
      <c r="AW21" s="52"/>
      <c r="AX21" s="52"/>
      <c r="AY21" s="52"/>
      <c r="AZ21" s="5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ht="15.75" customHeight="1">
      <c r="A22" s="1"/>
      <c r="B22" s="54"/>
      <c r="C22" s="55"/>
      <c r="D22" s="55"/>
      <c r="E22" s="55"/>
      <c r="F22" s="55"/>
      <c r="G22" s="55"/>
      <c r="H22" s="55"/>
      <c r="I22" s="55"/>
      <c r="J22" s="56"/>
      <c r="K22" s="54"/>
      <c r="L22" s="55"/>
      <c r="M22" s="55"/>
      <c r="N22" s="55"/>
      <c r="O22" s="55"/>
      <c r="P22" s="55"/>
      <c r="Q22" s="56"/>
      <c r="R22" s="54"/>
      <c r="S22" s="55"/>
      <c r="T22" s="55"/>
      <c r="U22" s="55"/>
      <c r="V22" s="55"/>
      <c r="W22" s="55"/>
      <c r="X22" s="56"/>
      <c r="Y22" s="54"/>
      <c r="Z22" s="55"/>
      <c r="AA22" s="55"/>
      <c r="AB22" s="55"/>
      <c r="AC22" s="55"/>
      <c r="AD22" s="55"/>
      <c r="AE22" s="56"/>
      <c r="AF22" s="54"/>
      <c r="AG22" s="55"/>
      <c r="AH22" s="55"/>
      <c r="AI22" s="55"/>
      <c r="AJ22" s="55"/>
      <c r="AK22" s="55"/>
      <c r="AL22" s="56"/>
      <c r="AM22" s="55"/>
      <c r="AN22" s="55"/>
      <c r="AO22" s="56"/>
      <c r="AP22" s="1"/>
      <c r="AQ22" s="2"/>
      <c r="AR22" s="50">
        <v>5.0</v>
      </c>
      <c r="AS22" s="51" t="str">
        <f t="shared" si="4"/>
        <v>Gym Workout 🏋️‍♂️</v>
      </c>
      <c r="AT22" s="52"/>
      <c r="AU22" s="52"/>
      <c r="AV22" s="52"/>
      <c r="AW22" s="52"/>
      <c r="AX22" s="52"/>
      <c r="AY22" s="52"/>
      <c r="AZ22" s="5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ht="15.75" customHeight="1">
      <c r="A23" s="1"/>
      <c r="B23" s="57" t="s">
        <v>6</v>
      </c>
      <c r="C23" s="52"/>
      <c r="D23" s="52"/>
      <c r="E23" s="52"/>
      <c r="F23" s="52"/>
      <c r="G23" s="52"/>
      <c r="H23" s="52"/>
      <c r="I23" s="52"/>
      <c r="J23" s="53"/>
      <c r="K23" s="58">
        <f t="shared" ref="K23:AO23" si="5">IF(K16="","",COUNTIF(K37:K61,TRUE))</f>
        <v>1</v>
      </c>
      <c r="L23" s="59">
        <f t="shared" si="5"/>
        <v>1</v>
      </c>
      <c r="M23" s="59">
        <f t="shared" si="5"/>
        <v>0</v>
      </c>
      <c r="N23" s="59">
        <f t="shared" si="5"/>
        <v>0</v>
      </c>
      <c r="O23" s="59">
        <f t="shared" si="5"/>
        <v>0</v>
      </c>
      <c r="P23" s="59">
        <f t="shared" si="5"/>
        <v>0</v>
      </c>
      <c r="Q23" s="60">
        <f t="shared" si="5"/>
        <v>0</v>
      </c>
      <c r="R23" s="58">
        <f t="shared" si="5"/>
        <v>0</v>
      </c>
      <c r="S23" s="59">
        <f t="shared" si="5"/>
        <v>0</v>
      </c>
      <c r="T23" s="59">
        <f t="shared" si="5"/>
        <v>0</v>
      </c>
      <c r="U23" s="59">
        <f t="shared" si="5"/>
        <v>0</v>
      </c>
      <c r="V23" s="59">
        <f t="shared" si="5"/>
        <v>0</v>
      </c>
      <c r="W23" s="59">
        <f t="shared" si="5"/>
        <v>0</v>
      </c>
      <c r="X23" s="60">
        <f t="shared" si="5"/>
        <v>0</v>
      </c>
      <c r="Y23" s="58">
        <f t="shared" si="5"/>
        <v>0</v>
      </c>
      <c r="Z23" s="59">
        <f t="shared" si="5"/>
        <v>0</v>
      </c>
      <c r="AA23" s="59">
        <f t="shared" si="5"/>
        <v>0</v>
      </c>
      <c r="AB23" s="59">
        <f t="shared" si="5"/>
        <v>0</v>
      </c>
      <c r="AC23" s="59">
        <f t="shared" si="5"/>
        <v>0</v>
      </c>
      <c r="AD23" s="59">
        <f t="shared" si="5"/>
        <v>0</v>
      </c>
      <c r="AE23" s="60">
        <f t="shared" si="5"/>
        <v>0</v>
      </c>
      <c r="AF23" s="58">
        <f t="shared" si="5"/>
        <v>0</v>
      </c>
      <c r="AG23" s="59">
        <f t="shared" si="5"/>
        <v>0</v>
      </c>
      <c r="AH23" s="59">
        <f t="shared" si="5"/>
        <v>0</v>
      </c>
      <c r="AI23" s="59">
        <f t="shared" si="5"/>
        <v>0</v>
      </c>
      <c r="AJ23" s="59">
        <f t="shared" si="5"/>
        <v>0</v>
      </c>
      <c r="AK23" s="59">
        <f t="shared" si="5"/>
        <v>0</v>
      </c>
      <c r="AL23" s="60">
        <f t="shared" si="5"/>
        <v>0</v>
      </c>
      <c r="AM23" s="61">
        <f t="shared" si="5"/>
        <v>0</v>
      </c>
      <c r="AN23" s="59">
        <f t="shared" si="5"/>
        <v>0</v>
      </c>
      <c r="AO23" s="60">
        <f t="shared" si="5"/>
        <v>0</v>
      </c>
      <c r="AP23" s="1"/>
      <c r="AQ23" s="2"/>
      <c r="AR23" s="50">
        <v>6.0</v>
      </c>
      <c r="AS23" s="51" t="str">
        <f t="shared" si="4"/>
        <v>Stretching 🧘‍♂️</v>
      </c>
      <c r="AT23" s="52"/>
      <c r="AU23" s="52"/>
      <c r="AV23" s="52"/>
      <c r="AW23" s="52"/>
      <c r="AX23" s="52"/>
      <c r="AY23" s="52"/>
      <c r="AZ23" s="5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ht="15.75" customHeight="1">
      <c r="A24" s="1"/>
      <c r="B24" s="57" t="s">
        <v>30</v>
      </c>
      <c r="C24" s="52"/>
      <c r="D24" s="52"/>
      <c r="E24" s="52"/>
      <c r="F24" s="52"/>
      <c r="G24" s="52"/>
      <c r="H24" s="52"/>
      <c r="I24" s="52"/>
      <c r="J24" s="53"/>
      <c r="K24" s="58">
        <f t="shared" ref="K24:AO24" si="6">IF(K16="","",COUNTIF($B$37:$H$61,"*"))</f>
        <v>17</v>
      </c>
      <c r="L24" s="59">
        <f t="shared" si="6"/>
        <v>17</v>
      </c>
      <c r="M24" s="59">
        <f t="shared" si="6"/>
        <v>17</v>
      </c>
      <c r="N24" s="59">
        <f t="shared" si="6"/>
        <v>17</v>
      </c>
      <c r="O24" s="59">
        <f t="shared" si="6"/>
        <v>17</v>
      </c>
      <c r="P24" s="59">
        <f t="shared" si="6"/>
        <v>17</v>
      </c>
      <c r="Q24" s="60">
        <f t="shared" si="6"/>
        <v>17</v>
      </c>
      <c r="R24" s="58">
        <f t="shared" si="6"/>
        <v>17</v>
      </c>
      <c r="S24" s="59">
        <f t="shared" si="6"/>
        <v>17</v>
      </c>
      <c r="T24" s="59">
        <f t="shared" si="6"/>
        <v>17</v>
      </c>
      <c r="U24" s="59">
        <f t="shared" si="6"/>
        <v>17</v>
      </c>
      <c r="V24" s="59">
        <f t="shared" si="6"/>
        <v>17</v>
      </c>
      <c r="W24" s="59">
        <f t="shared" si="6"/>
        <v>17</v>
      </c>
      <c r="X24" s="60">
        <f t="shared" si="6"/>
        <v>17</v>
      </c>
      <c r="Y24" s="58">
        <f t="shared" si="6"/>
        <v>17</v>
      </c>
      <c r="Z24" s="59">
        <f t="shared" si="6"/>
        <v>17</v>
      </c>
      <c r="AA24" s="59">
        <f t="shared" si="6"/>
        <v>17</v>
      </c>
      <c r="AB24" s="59">
        <f t="shared" si="6"/>
        <v>17</v>
      </c>
      <c r="AC24" s="59">
        <f t="shared" si="6"/>
        <v>17</v>
      </c>
      <c r="AD24" s="59">
        <f t="shared" si="6"/>
        <v>17</v>
      </c>
      <c r="AE24" s="60">
        <f t="shared" si="6"/>
        <v>17</v>
      </c>
      <c r="AF24" s="58">
        <f t="shared" si="6"/>
        <v>17</v>
      </c>
      <c r="AG24" s="59">
        <f t="shared" si="6"/>
        <v>17</v>
      </c>
      <c r="AH24" s="59">
        <f t="shared" si="6"/>
        <v>17</v>
      </c>
      <c r="AI24" s="59">
        <f t="shared" si="6"/>
        <v>17</v>
      </c>
      <c r="AJ24" s="59">
        <f t="shared" si="6"/>
        <v>17</v>
      </c>
      <c r="AK24" s="59">
        <f t="shared" si="6"/>
        <v>17</v>
      </c>
      <c r="AL24" s="60">
        <f t="shared" si="6"/>
        <v>17</v>
      </c>
      <c r="AM24" s="61">
        <f t="shared" si="6"/>
        <v>17</v>
      </c>
      <c r="AN24" s="59">
        <f t="shared" si="6"/>
        <v>17</v>
      </c>
      <c r="AO24" s="60">
        <f t="shared" si="6"/>
        <v>17</v>
      </c>
      <c r="AP24" s="1"/>
      <c r="AQ24" s="2"/>
      <c r="AR24" s="50">
        <v>7.0</v>
      </c>
      <c r="AS24" s="51" t="str">
        <f t="shared" si="4"/>
        <v>Read 10 Pages 📚</v>
      </c>
      <c r="AT24" s="52"/>
      <c r="AU24" s="52"/>
      <c r="AV24" s="52"/>
      <c r="AW24" s="52"/>
      <c r="AX24" s="52"/>
      <c r="AY24" s="52"/>
      <c r="AZ24" s="5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ht="15.75" customHeight="1">
      <c r="A25" s="1"/>
      <c r="B25" s="57" t="s">
        <v>8</v>
      </c>
      <c r="C25" s="52"/>
      <c r="D25" s="52"/>
      <c r="E25" s="52"/>
      <c r="F25" s="52"/>
      <c r="G25" s="52"/>
      <c r="H25" s="52"/>
      <c r="I25" s="52"/>
      <c r="J25" s="53"/>
      <c r="K25" s="58">
        <f t="shared" ref="K25:AO25" si="7">IF(K16="","",K24-K23)</f>
        <v>16</v>
      </c>
      <c r="L25" s="59">
        <f t="shared" si="7"/>
        <v>16</v>
      </c>
      <c r="M25" s="59">
        <f t="shared" si="7"/>
        <v>17</v>
      </c>
      <c r="N25" s="59">
        <f t="shared" si="7"/>
        <v>17</v>
      </c>
      <c r="O25" s="59">
        <f t="shared" si="7"/>
        <v>17</v>
      </c>
      <c r="P25" s="59">
        <f t="shared" si="7"/>
        <v>17</v>
      </c>
      <c r="Q25" s="60">
        <f t="shared" si="7"/>
        <v>17</v>
      </c>
      <c r="R25" s="58">
        <f t="shared" si="7"/>
        <v>17</v>
      </c>
      <c r="S25" s="59">
        <f t="shared" si="7"/>
        <v>17</v>
      </c>
      <c r="T25" s="59">
        <f t="shared" si="7"/>
        <v>17</v>
      </c>
      <c r="U25" s="59">
        <f t="shared" si="7"/>
        <v>17</v>
      </c>
      <c r="V25" s="59">
        <f t="shared" si="7"/>
        <v>17</v>
      </c>
      <c r="W25" s="59">
        <f t="shared" si="7"/>
        <v>17</v>
      </c>
      <c r="X25" s="60">
        <f t="shared" si="7"/>
        <v>17</v>
      </c>
      <c r="Y25" s="58">
        <f t="shared" si="7"/>
        <v>17</v>
      </c>
      <c r="Z25" s="59">
        <f t="shared" si="7"/>
        <v>17</v>
      </c>
      <c r="AA25" s="59">
        <f t="shared" si="7"/>
        <v>17</v>
      </c>
      <c r="AB25" s="59">
        <f t="shared" si="7"/>
        <v>17</v>
      </c>
      <c r="AC25" s="59">
        <f t="shared" si="7"/>
        <v>17</v>
      </c>
      <c r="AD25" s="59">
        <f t="shared" si="7"/>
        <v>17</v>
      </c>
      <c r="AE25" s="60">
        <f t="shared" si="7"/>
        <v>17</v>
      </c>
      <c r="AF25" s="58">
        <f t="shared" si="7"/>
        <v>17</v>
      </c>
      <c r="AG25" s="59">
        <f t="shared" si="7"/>
        <v>17</v>
      </c>
      <c r="AH25" s="59">
        <f t="shared" si="7"/>
        <v>17</v>
      </c>
      <c r="AI25" s="59">
        <f t="shared" si="7"/>
        <v>17</v>
      </c>
      <c r="AJ25" s="59">
        <f t="shared" si="7"/>
        <v>17</v>
      </c>
      <c r="AK25" s="59">
        <f t="shared" si="7"/>
        <v>17</v>
      </c>
      <c r="AL25" s="60">
        <f t="shared" si="7"/>
        <v>17</v>
      </c>
      <c r="AM25" s="61">
        <f t="shared" si="7"/>
        <v>17</v>
      </c>
      <c r="AN25" s="59">
        <f t="shared" si="7"/>
        <v>17</v>
      </c>
      <c r="AO25" s="60">
        <f t="shared" si="7"/>
        <v>17</v>
      </c>
      <c r="AP25" s="1"/>
      <c r="AQ25" s="2"/>
      <c r="AR25" s="50">
        <v>8.0</v>
      </c>
      <c r="AS25" s="51" t="str">
        <f t="shared" si="4"/>
        <v>Meditation 🧘‍♀️</v>
      </c>
      <c r="AT25" s="52"/>
      <c r="AU25" s="52"/>
      <c r="AV25" s="52"/>
      <c r="AW25" s="52"/>
      <c r="AX25" s="52"/>
      <c r="AY25" s="52"/>
      <c r="AZ25" s="5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ht="15.75" customHeight="1">
      <c r="A26" s="1"/>
      <c r="B26" s="62" t="s">
        <v>31</v>
      </c>
      <c r="C26" s="63"/>
      <c r="D26" s="63"/>
      <c r="E26" s="63"/>
      <c r="F26" s="63"/>
      <c r="G26" s="63"/>
      <c r="H26" s="63"/>
      <c r="I26" s="63"/>
      <c r="J26" s="64"/>
      <c r="K26" s="65" t="str">
        <f>CONCATENATE(SUM(K23:Q23),"/",SUM(K24:Q24))</f>
        <v>2/119</v>
      </c>
      <c r="L26" s="52"/>
      <c r="M26" s="52"/>
      <c r="N26" s="52"/>
      <c r="O26" s="52"/>
      <c r="P26" s="52"/>
      <c r="Q26" s="53"/>
      <c r="R26" s="65" t="str">
        <f>CONCATENATE(SUM(R23:X23),"/",SUM(R24:X24))</f>
        <v>0/119</v>
      </c>
      <c r="S26" s="52"/>
      <c r="T26" s="52"/>
      <c r="U26" s="52"/>
      <c r="V26" s="52"/>
      <c r="W26" s="52"/>
      <c r="X26" s="53"/>
      <c r="Y26" s="65" t="str">
        <f>CONCATENATE(SUM(Y23:AE23),"/",SUM(Y24:AE24))</f>
        <v>0/119</v>
      </c>
      <c r="Z26" s="52"/>
      <c r="AA26" s="52"/>
      <c r="AB26" s="52"/>
      <c r="AC26" s="52"/>
      <c r="AD26" s="52"/>
      <c r="AE26" s="53"/>
      <c r="AF26" s="65" t="str">
        <f>CONCATENATE(SUM(AF23:AL23),"/",SUM(AF24:AL24))</f>
        <v>0/119</v>
      </c>
      <c r="AG26" s="52"/>
      <c r="AH26" s="52"/>
      <c r="AI26" s="52"/>
      <c r="AJ26" s="52"/>
      <c r="AK26" s="52"/>
      <c r="AL26" s="53"/>
      <c r="AM26" s="66" t="str">
        <f>CONCATENATE(SUM(AM23:AO23),"/",SUM(AM24:AO24))</f>
        <v>0/51</v>
      </c>
      <c r="AN26" s="52"/>
      <c r="AO26" s="53"/>
      <c r="AP26" s="1"/>
      <c r="AQ26" s="2"/>
      <c r="AR26" s="50">
        <v>9.0</v>
      </c>
      <c r="AS26" s="51" t="str">
        <f t="shared" si="4"/>
        <v>physics study </v>
      </c>
      <c r="AT26" s="52"/>
      <c r="AU26" s="52"/>
      <c r="AV26" s="52"/>
      <c r="AW26" s="52"/>
      <c r="AX26" s="52"/>
      <c r="AY26" s="52"/>
      <c r="AZ26" s="5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ht="15.75" customHeight="1">
      <c r="A27" s="1"/>
      <c r="B27" s="11"/>
      <c r="J27" s="12"/>
      <c r="K27" s="67">
        <f>IFERROR(SUM(K23:Q23)/SUM(K24:Q24),0)</f>
        <v>0.01680672269</v>
      </c>
      <c r="L27" s="52"/>
      <c r="M27" s="52"/>
      <c r="N27" s="52"/>
      <c r="O27" s="52"/>
      <c r="P27" s="52"/>
      <c r="Q27" s="53"/>
      <c r="R27" s="67">
        <f>IFERROR(SUM(R23:X23)/SUM(R24:X24),0)</f>
        <v>0</v>
      </c>
      <c r="S27" s="52"/>
      <c r="T27" s="52"/>
      <c r="U27" s="52"/>
      <c r="V27" s="52"/>
      <c r="W27" s="52"/>
      <c r="X27" s="53"/>
      <c r="Y27" s="67">
        <f>IFERROR(SUM(Y23:AE23)/SUM(Y24:AE24),0)</f>
        <v>0</v>
      </c>
      <c r="Z27" s="52"/>
      <c r="AA27" s="52"/>
      <c r="AB27" s="52"/>
      <c r="AC27" s="52"/>
      <c r="AD27" s="52"/>
      <c r="AE27" s="53"/>
      <c r="AF27" s="67">
        <f>IFERROR(SUM(AF23:AL23)/SUM(AF24:AL24),0)</f>
        <v>0</v>
      </c>
      <c r="AG27" s="52"/>
      <c r="AH27" s="52"/>
      <c r="AI27" s="52"/>
      <c r="AJ27" s="52"/>
      <c r="AK27" s="52"/>
      <c r="AL27" s="53"/>
      <c r="AM27" s="68">
        <f>IFERROR(SUM(AM23:AO23)/SUM(AM24:AO24),0)</f>
        <v>0</v>
      </c>
      <c r="AN27" s="52"/>
      <c r="AO27" s="53"/>
      <c r="AP27" s="1"/>
      <c r="AQ27" s="2"/>
      <c r="AR27" s="69">
        <v>10.0</v>
      </c>
      <c r="AS27" s="70" t="str">
        <f t="shared" si="4"/>
        <v>daily protein intake of 80+</v>
      </c>
      <c r="AT27" s="63"/>
      <c r="AU27" s="63"/>
      <c r="AV27" s="63"/>
      <c r="AW27" s="63"/>
      <c r="AX27" s="63"/>
      <c r="AY27" s="63"/>
      <c r="AZ27" s="64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ht="15.75" customHeight="1">
      <c r="A28" s="1"/>
      <c r="B28" s="13"/>
      <c r="C28" s="14"/>
      <c r="D28" s="14"/>
      <c r="E28" s="14"/>
      <c r="F28" s="14"/>
      <c r="G28" s="14"/>
      <c r="H28" s="14"/>
      <c r="I28" s="14"/>
      <c r="J28" s="15"/>
      <c r="K28" s="71" t="str">
        <f>IFERROR(__xludf.DUMMYFUNCTION("SPARKLINE(K27,{""charttype"",""bar"";""max"",1;""color1"",""#7AA7D1""})"),"")</f>
        <v/>
      </c>
      <c r="L28" s="72"/>
      <c r="M28" s="72"/>
      <c r="N28" s="72"/>
      <c r="O28" s="72"/>
      <c r="P28" s="72"/>
      <c r="Q28" s="73"/>
      <c r="R28" s="71" t="str">
        <f>IFERROR(__xludf.DUMMYFUNCTION("SPARKLINE(R27,{""charttype"",""bar"";""max"",1;""color1"",""#7AA7D1""})"),"")</f>
        <v/>
      </c>
      <c r="S28" s="72"/>
      <c r="T28" s="72"/>
      <c r="U28" s="72"/>
      <c r="V28" s="72"/>
      <c r="W28" s="72"/>
      <c r="X28" s="73"/>
      <c r="Y28" s="71" t="str">
        <f>IFERROR(__xludf.DUMMYFUNCTION("SPARKLINE(Y27,{""charttype"",""bar"";""max"",1;""color1"",""#7AA7D1""})"),"")</f>
        <v/>
      </c>
      <c r="Z28" s="72"/>
      <c r="AA28" s="72"/>
      <c r="AB28" s="72"/>
      <c r="AC28" s="72"/>
      <c r="AD28" s="72"/>
      <c r="AE28" s="73"/>
      <c r="AF28" s="71" t="str">
        <f>IFERROR(__xludf.DUMMYFUNCTION("SPARKLINE(AF27,{""charttype"",""bar"";""max"",1;""color1"",""#7AA7D1""})"),"")</f>
        <v/>
      </c>
      <c r="AG28" s="72"/>
      <c r="AH28" s="72"/>
      <c r="AI28" s="72"/>
      <c r="AJ28" s="72"/>
      <c r="AK28" s="72"/>
      <c r="AL28" s="73"/>
      <c r="AM28" s="74" t="str">
        <f>IFERROR(__xludf.DUMMYFUNCTION("IFERROR(SPARKLINE(AM27,{""charttype"",""bar"";""max"",1;""color1"",""#7AA7D1""}),"""")"),"")</f>
        <v/>
      </c>
      <c r="AN28" s="72"/>
      <c r="AO28" s="73"/>
      <c r="AP28" s="1"/>
      <c r="AQ28" s="2"/>
      <c r="AR28" s="75"/>
      <c r="AS28" s="72"/>
      <c r="AT28" s="72"/>
      <c r="AU28" s="72"/>
      <c r="AV28" s="72"/>
      <c r="AW28" s="72"/>
      <c r="AX28" s="72"/>
      <c r="AY28" s="72"/>
      <c r="AZ28" s="7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  <c r="AL29" s="3"/>
      <c r="AM29" s="3">
        <f t="shared" ref="AM29:AO29" si="8">IF(AM23="",0,AM23)</f>
        <v>0</v>
      </c>
      <c r="AN29" s="3">
        <f t="shared" si="8"/>
        <v>0</v>
      </c>
      <c r="AO29" s="3">
        <f t="shared" si="8"/>
        <v>0</v>
      </c>
      <c r="AP29" s="3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76"/>
      <c r="O30" s="76"/>
      <c r="P30" s="76"/>
      <c r="Q30" s="77" t="s">
        <v>32</v>
      </c>
      <c r="R30" s="76"/>
      <c r="S30" s="76"/>
      <c r="T30" s="76"/>
      <c r="U30" s="78"/>
      <c r="V30" s="78"/>
      <c r="W30" s="79" t="s">
        <v>33</v>
      </c>
      <c r="X30" s="80"/>
      <c r="Y30" s="80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ht="15.75" customHeight="1">
      <c r="A33" s="1"/>
      <c r="B33" s="30" t="s">
        <v>34</v>
      </c>
      <c r="C33" s="7"/>
      <c r="D33" s="7"/>
      <c r="E33" s="7"/>
      <c r="F33" s="7"/>
      <c r="G33" s="7"/>
      <c r="H33" s="8"/>
      <c r="I33" s="30" t="s">
        <v>35</v>
      </c>
      <c r="J33" s="8"/>
      <c r="K33" s="9" t="s">
        <v>23</v>
      </c>
      <c r="L33" s="7"/>
      <c r="M33" s="7"/>
      <c r="N33" s="7"/>
      <c r="O33" s="7"/>
      <c r="P33" s="7"/>
      <c r="Q33" s="8"/>
      <c r="R33" s="9" t="s">
        <v>24</v>
      </c>
      <c r="S33" s="7"/>
      <c r="T33" s="7"/>
      <c r="U33" s="7"/>
      <c r="V33" s="7"/>
      <c r="W33" s="7"/>
      <c r="X33" s="8"/>
      <c r="Y33" s="9" t="s">
        <v>25</v>
      </c>
      <c r="Z33" s="7"/>
      <c r="AA33" s="7"/>
      <c r="AB33" s="7"/>
      <c r="AC33" s="7"/>
      <c r="AD33" s="7"/>
      <c r="AE33" s="8"/>
      <c r="AF33" s="9" t="s">
        <v>26</v>
      </c>
      <c r="AG33" s="7"/>
      <c r="AH33" s="7"/>
      <c r="AI33" s="7"/>
      <c r="AJ33" s="7"/>
      <c r="AK33" s="7"/>
      <c r="AL33" s="8"/>
      <c r="AM33" s="81" t="s">
        <v>27</v>
      </c>
      <c r="AN33" s="7"/>
      <c r="AO33" s="8"/>
      <c r="AP33" s="1"/>
      <c r="AQ33" s="1"/>
      <c r="AR33" s="82" t="s">
        <v>6</v>
      </c>
      <c r="AS33" s="83" t="s">
        <v>8</v>
      </c>
      <c r="AT33" s="84">
        <f>IFERROR(BH2/BH4,0)</f>
        <v>0.01086956522</v>
      </c>
      <c r="AU33" s="85" t="s">
        <v>36</v>
      </c>
      <c r="AV33" s="7"/>
      <c r="AW33" s="7"/>
      <c r="AX33" s="7"/>
      <c r="AY33" s="7"/>
      <c r="AZ33" s="8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ht="15.75" customHeight="1">
      <c r="A34" s="1"/>
      <c r="B34" s="11"/>
      <c r="H34" s="12"/>
      <c r="I34" s="11"/>
      <c r="J34" s="12"/>
      <c r="K34" s="13"/>
      <c r="L34" s="14"/>
      <c r="M34" s="14"/>
      <c r="N34" s="14"/>
      <c r="O34" s="14"/>
      <c r="P34" s="14"/>
      <c r="Q34" s="15"/>
      <c r="R34" s="13"/>
      <c r="S34" s="14"/>
      <c r="T34" s="14"/>
      <c r="U34" s="14"/>
      <c r="V34" s="14"/>
      <c r="W34" s="14"/>
      <c r="X34" s="15"/>
      <c r="Y34" s="13"/>
      <c r="Z34" s="14"/>
      <c r="AA34" s="14"/>
      <c r="AB34" s="14"/>
      <c r="AC34" s="14"/>
      <c r="AD34" s="14"/>
      <c r="AE34" s="15"/>
      <c r="AF34" s="13"/>
      <c r="AG34" s="14"/>
      <c r="AH34" s="14"/>
      <c r="AI34" s="14"/>
      <c r="AJ34" s="14"/>
      <c r="AK34" s="14"/>
      <c r="AL34" s="15"/>
      <c r="AM34" s="14"/>
      <c r="AN34" s="14"/>
      <c r="AO34" s="15"/>
      <c r="AP34" s="1"/>
      <c r="AQ34" s="1"/>
      <c r="AR34" s="11"/>
      <c r="AU34" s="86" t="str">
        <f>IFERROR(__xludf.DUMMYFUNCTION("IF(B37="""","""",SPARKLINE(AT33,{""charttype"",""bar"";""max"",1;""color1"",""#7AA7D1""}))"),"")</f>
        <v/>
      </c>
      <c r="AZ34" s="12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ht="15.75" customHeight="1">
      <c r="A35" s="1"/>
      <c r="B35" s="11"/>
      <c r="H35" s="12"/>
      <c r="I35" s="11"/>
      <c r="J35" s="12"/>
      <c r="K35" s="87">
        <f t="shared" ref="K35:AO35" si="9">K36</f>
        <v>46357</v>
      </c>
      <c r="L35" s="88">
        <f t="shared" si="9"/>
        <v>46358</v>
      </c>
      <c r="M35" s="88">
        <f t="shared" si="9"/>
        <v>46359</v>
      </c>
      <c r="N35" s="88">
        <f t="shared" si="9"/>
        <v>46360</v>
      </c>
      <c r="O35" s="88">
        <f t="shared" si="9"/>
        <v>46361</v>
      </c>
      <c r="P35" s="88">
        <f t="shared" si="9"/>
        <v>46362</v>
      </c>
      <c r="Q35" s="89">
        <f t="shared" si="9"/>
        <v>46363</v>
      </c>
      <c r="R35" s="87">
        <f t="shared" si="9"/>
        <v>46364</v>
      </c>
      <c r="S35" s="88">
        <f t="shared" si="9"/>
        <v>46365</v>
      </c>
      <c r="T35" s="88">
        <f t="shared" si="9"/>
        <v>46366</v>
      </c>
      <c r="U35" s="88">
        <f t="shared" si="9"/>
        <v>46367</v>
      </c>
      <c r="V35" s="88">
        <f t="shared" si="9"/>
        <v>46368</v>
      </c>
      <c r="W35" s="88">
        <f t="shared" si="9"/>
        <v>46369</v>
      </c>
      <c r="X35" s="89">
        <f t="shared" si="9"/>
        <v>46370</v>
      </c>
      <c r="Y35" s="87">
        <f t="shared" si="9"/>
        <v>46371</v>
      </c>
      <c r="Z35" s="88">
        <f t="shared" si="9"/>
        <v>46372</v>
      </c>
      <c r="AA35" s="88">
        <f t="shared" si="9"/>
        <v>46373</v>
      </c>
      <c r="AB35" s="88">
        <f t="shared" si="9"/>
        <v>46374</v>
      </c>
      <c r="AC35" s="88">
        <f t="shared" si="9"/>
        <v>46375</v>
      </c>
      <c r="AD35" s="88">
        <f t="shared" si="9"/>
        <v>46376</v>
      </c>
      <c r="AE35" s="89">
        <f t="shared" si="9"/>
        <v>46377</v>
      </c>
      <c r="AF35" s="87">
        <f t="shared" si="9"/>
        <v>46378</v>
      </c>
      <c r="AG35" s="88">
        <f t="shared" si="9"/>
        <v>46379</v>
      </c>
      <c r="AH35" s="88">
        <f t="shared" si="9"/>
        <v>46380</v>
      </c>
      <c r="AI35" s="88">
        <f t="shared" si="9"/>
        <v>46381</v>
      </c>
      <c r="AJ35" s="88">
        <f t="shared" si="9"/>
        <v>46382</v>
      </c>
      <c r="AK35" s="88">
        <f t="shared" si="9"/>
        <v>46383</v>
      </c>
      <c r="AL35" s="89">
        <f t="shared" si="9"/>
        <v>46384</v>
      </c>
      <c r="AM35" s="88">
        <f t="shared" si="9"/>
        <v>46385</v>
      </c>
      <c r="AN35" s="88">
        <f t="shared" si="9"/>
        <v>46386</v>
      </c>
      <c r="AO35" s="89">
        <f t="shared" si="9"/>
        <v>46387</v>
      </c>
      <c r="AP35" s="1"/>
      <c r="AQ35" s="1"/>
      <c r="AR35" s="11"/>
      <c r="AZ35" s="12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ht="15.75" customHeight="1">
      <c r="A36" s="1"/>
      <c r="B36" s="13"/>
      <c r="C36" s="14"/>
      <c r="D36" s="14"/>
      <c r="E36" s="14"/>
      <c r="F36" s="14"/>
      <c r="G36" s="14"/>
      <c r="H36" s="15"/>
      <c r="I36" s="13"/>
      <c r="J36" s="15"/>
      <c r="K36" s="90">
        <f>DATE(E10,VLOOKUP(E11,BC1:BD12,2,FALSE),1)</f>
        <v>46357</v>
      </c>
      <c r="L36" s="91">
        <f t="shared" ref="L36:AO36" si="10">IF(MONTH(K36+1)=MONTH($K$36),K36+1,"")</f>
        <v>46358</v>
      </c>
      <c r="M36" s="91">
        <f t="shared" si="10"/>
        <v>46359</v>
      </c>
      <c r="N36" s="91">
        <f t="shared" si="10"/>
        <v>46360</v>
      </c>
      <c r="O36" s="91">
        <f t="shared" si="10"/>
        <v>46361</v>
      </c>
      <c r="P36" s="91">
        <f t="shared" si="10"/>
        <v>46362</v>
      </c>
      <c r="Q36" s="92">
        <f t="shared" si="10"/>
        <v>46363</v>
      </c>
      <c r="R36" s="90">
        <f t="shared" si="10"/>
        <v>46364</v>
      </c>
      <c r="S36" s="91">
        <f t="shared" si="10"/>
        <v>46365</v>
      </c>
      <c r="T36" s="91">
        <f t="shared" si="10"/>
        <v>46366</v>
      </c>
      <c r="U36" s="91">
        <f t="shared" si="10"/>
        <v>46367</v>
      </c>
      <c r="V36" s="91">
        <f t="shared" si="10"/>
        <v>46368</v>
      </c>
      <c r="W36" s="91">
        <f t="shared" si="10"/>
        <v>46369</v>
      </c>
      <c r="X36" s="92">
        <f t="shared" si="10"/>
        <v>46370</v>
      </c>
      <c r="Y36" s="90">
        <f t="shared" si="10"/>
        <v>46371</v>
      </c>
      <c r="Z36" s="91">
        <f t="shared" si="10"/>
        <v>46372</v>
      </c>
      <c r="AA36" s="91">
        <f t="shared" si="10"/>
        <v>46373</v>
      </c>
      <c r="AB36" s="91">
        <f t="shared" si="10"/>
        <v>46374</v>
      </c>
      <c r="AC36" s="91">
        <f t="shared" si="10"/>
        <v>46375</v>
      </c>
      <c r="AD36" s="91">
        <f t="shared" si="10"/>
        <v>46376</v>
      </c>
      <c r="AE36" s="92">
        <f t="shared" si="10"/>
        <v>46377</v>
      </c>
      <c r="AF36" s="90">
        <f t="shared" si="10"/>
        <v>46378</v>
      </c>
      <c r="AG36" s="91">
        <f t="shared" si="10"/>
        <v>46379</v>
      </c>
      <c r="AH36" s="91">
        <f t="shared" si="10"/>
        <v>46380</v>
      </c>
      <c r="AI36" s="91">
        <f t="shared" si="10"/>
        <v>46381</v>
      </c>
      <c r="AJ36" s="91">
        <f t="shared" si="10"/>
        <v>46382</v>
      </c>
      <c r="AK36" s="91">
        <f t="shared" si="10"/>
        <v>46383</v>
      </c>
      <c r="AL36" s="92">
        <f t="shared" si="10"/>
        <v>46384</v>
      </c>
      <c r="AM36" s="91">
        <f t="shared" si="10"/>
        <v>46385</v>
      </c>
      <c r="AN36" s="91">
        <f t="shared" si="10"/>
        <v>46386</v>
      </c>
      <c r="AO36" s="92">
        <f t="shared" si="10"/>
        <v>46387</v>
      </c>
      <c r="AP36" s="1"/>
      <c r="AQ36" s="1"/>
      <c r="AR36" s="13"/>
      <c r="AS36" s="14"/>
      <c r="AT36" s="14"/>
      <c r="AU36" s="14"/>
      <c r="AV36" s="14"/>
      <c r="AW36" s="14"/>
      <c r="AX36" s="14"/>
      <c r="AY36" s="14"/>
      <c r="AZ36" s="15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ht="15.75" customHeight="1">
      <c r="A37" s="2">
        <v>1.0</v>
      </c>
      <c r="B37" s="93" t="s">
        <v>37</v>
      </c>
      <c r="C37" s="94"/>
      <c r="D37" s="94"/>
      <c r="E37" s="94"/>
      <c r="F37" s="94"/>
      <c r="G37" s="94"/>
      <c r="H37" s="95"/>
      <c r="I37" s="96">
        <v>14.0</v>
      </c>
      <c r="J37" s="95"/>
      <c r="K37" s="97" t="b">
        <v>0</v>
      </c>
      <c r="L37" s="98" t="b">
        <v>0</v>
      </c>
      <c r="M37" s="98" t="b">
        <v>0</v>
      </c>
      <c r="N37" s="98" t="b">
        <v>0</v>
      </c>
      <c r="O37" s="98" t="b">
        <v>0</v>
      </c>
      <c r="P37" s="98" t="b">
        <v>0</v>
      </c>
      <c r="Q37" s="99" t="b">
        <v>0</v>
      </c>
      <c r="R37" s="97" t="b">
        <v>0</v>
      </c>
      <c r="S37" s="98" t="b">
        <v>0</v>
      </c>
      <c r="T37" s="98" t="b">
        <v>0</v>
      </c>
      <c r="U37" s="98" t="b">
        <v>0</v>
      </c>
      <c r="V37" s="98" t="b">
        <v>0</v>
      </c>
      <c r="W37" s="98" t="b">
        <v>0</v>
      </c>
      <c r="X37" s="99" t="b">
        <v>0</v>
      </c>
      <c r="Y37" s="97" t="b">
        <v>0</v>
      </c>
      <c r="Z37" s="98" t="b">
        <v>0</v>
      </c>
      <c r="AA37" s="98" t="b">
        <v>0</v>
      </c>
      <c r="AB37" s="98" t="b">
        <v>0</v>
      </c>
      <c r="AC37" s="98" t="b">
        <v>0</v>
      </c>
      <c r="AD37" s="98" t="b">
        <v>0</v>
      </c>
      <c r="AE37" s="99" t="b">
        <v>0</v>
      </c>
      <c r="AF37" s="97" t="b">
        <v>0</v>
      </c>
      <c r="AG37" s="98" t="b">
        <v>0</v>
      </c>
      <c r="AH37" s="98" t="b">
        <v>0</v>
      </c>
      <c r="AI37" s="98" t="b">
        <v>0</v>
      </c>
      <c r="AJ37" s="98" t="b">
        <v>0</v>
      </c>
      <c r="AK37" s="98" t="b">
        <v>0</v>
      </c>
      <c r="AL37" s="99" t="b">
        <v>0</v>
      </c>
      <c r="AM37" s="100" t="b">
        <v>0</v>
      </c>
      <c r="AN37" s="98" t="b">
        <v>0</v>
      </c>
      <c r="AO37" s="99" t="b">
        <v>0</v>
      </c>
      <c r="AP37" s="1"/>
      <c r="AQ37" s="1"/>
      <c r="AR37" s="101">
        <f t="shared" ref="AR37:AR61" si="11">IF(B37="","", COUNTIF(K37:AO37,TRUE))</f>
        <v>0</v>
      </c>
      <c r="AS37" s="102">
        <f t="shared" ref="AS37:AS61" si="12">IF(B37="","",I37-AR37)</f>
        <v>14</v>
      </c>
      <c r="AT37" s="103">
        <f t="shared" ref="AT37:AT61" si="13">IF(B37="","",IFERROR(AR37/I37,""))</f>
        <v>0</v>
      </c>
      <c r="AU37" s="104" t="str">
        <f>IFERROR(__xludf.DUMMYFUNCTION("IF(B37="""","""",SPARKLINE(AT37,{""charttype"",""bar"";""max"",1;""color1"",""#a7c7e7""}))"),"")</f>
        <v/>
      </c>
      <c r="AV37" s="55"/>
      <c r="AW37" s="55"/>
      <c r="AX37" s="55"/>
      <c r="AY37" s="55"/>
      <c r="AZ37" s="56"/>
      <c r="BA37" s="26">
        <f t="shared" ref="BA37:BA61" si="14">IF(AT37="",0,AT37)</f>
        <v>0</v>
      </c>
      <c r="BB37" s="3"/>
      <c r="BC37" s="25"/>
      <c r="BD37" s="3"/>
      <c r="BE37" s="3"/>
      <c r="BF37" s="3"/>
      <c r="BG37" s="105" t="str">
        <f t="array" ref="BG37:BM61">SORT(B37:H61,BA37:BA61,FALSE)</f>
        <v>No Snoozing 🚫😴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1"/>
      <c r="BS37" s="1"/>
      <c r="BT37" s="1"/>
      <c r="BU37" s="1"/>
      <c r="BV37" s="1"/>
      <c r="BW37" s="106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ht="15.75" customHeight="1">
      <c r="A38" s="2">
        <v>2.0</v>
      </c>
      <c r="B38" s="107" t="s">
        <v>38</v>
      </c>
      <c r="C38" s="55"/>
      <c r="D38" s="55"/>
      <c r="E38" s="55"/>
      <c r="F38" s="55"/>
      <c r="G38" s="55"/>
      <c r="H38" s="56"/>
      <c r="I38" s="108">
        <v>14.0</v>
      </c>
      <c r="J38" s="56"/>
      <c r="K38" s="109" t="b">
        <v>0</v>
      </c>
      <c r="L38" s="110" t="b">
        <v>1</v>
      </c>
      <c r="M38" s="110" t="b">
        <v>0</v>
      </c>
      <c r="N38" s="110" t="b">
        <v>0</v>
      </c>
      <c r="O38" s="110" t="b">
        <v>0</v>
      </c>
      <c r="P38" s="110" t="b">
        <v>0</v>
      </c>
      <c r="Q38" s="111" t="b">
        <v>0</v>
      </c>
      <c r="R38" s="109" t="b">
        <v>0</v>
      </c>
      <c r="S38" s="110" t="b">
        <v>0</v>
      </c>
      <c r="T38" s="110" t="b">
        <v>0</v>
      </c>
      <c r="U38" s="110" t="b">
        <v>0</v>
      </c>
      <c r="V38" s="110" t="b">
        <v>0</v>
      </c>
      <c r="W38" s="110" t="b">
        <v>0</v>
      </c>
      <c r="X38" s="111" t="b">
        <v>0</v>
      </c>
      <c r="Y38" s="109" t="b">
        <v>0</v>
      </c>
      <c r="Z38" s="110" t="b">
        <v>0</v>
      </c>
      <c r="AA38" s="110" t="b">
        <v>0</v>
      </c>
      <c r="AB38" s="110" t="b">
        <v>0</v>
      </c>
      <c r="AC38" s="110" t="b">
        <v>0</v>
      </c>
      <c r="AD38" s="110" t="b">
        <v>0</v>
      </c>
      <c r="AE38" s="111" t="b">
        <v>0</v>
      </c>
      <c r="AF38" s="109" t="b">
        <v>0</v>
      </c>
      <c r="AG38" s="110" t="b">
        <v>0</v>
      </c>
      <c r="AH38" s="110" t="b">
        <v>0</v>
      </c>
      <c r="AI38" s="110" t="b">
        <v>0</v>
      </c>
      <c r="AJ38" s="110" t="b">
        <v>0</v>
      </c>
      <c r="AK38" s="110" t="b">
        <v>0</v>
      </c>
      <c r="AL38" s="111" t="b">
        <v>0</v>
      </c>
      <c r="AM38" s="112" t="b">
        <v>0</v>
      </c>
      <c r="AN38" s="110" t="b">
        <v>0</v>
      </c>
      <c r="AO38" s="111" t="b">
        <v>0</v>
      </c>
      <c r="AP38" s="1"/>
      <c r="AQ38" s="1"/>
      <c r="AR38" s="58">
        <f t="shared" si="11"/>
        <v>1</v>
      </c>
      <c r="AS38" s="59">
        <f t="shared" si="12"/>
        <v>13</v>
      </c>
      <c r="AT38" s="113">
        <f t="shared" si="13"/>
        <v>0.07142857143</v>
      </c>
      <c r="AU38" s="114" t="str">
        <f>IFERROR(__xludf.DUMMYFUNCTION("IF(B38="""","""",SPARKLINE(AT38,{""charttype"",""bar"";""max"",1;""color1"",""#a7c7e7""}))"),"")</f>
        <v/>
      </c>
      <c r="AV38" s="115"/>
      <c r="AW38" s="115"/>
      <c r="AX38" s="115"/>
      <c r="AY38" s="115"/>
      <c r="AZ38" s="116"/>
      <c r="BA38" s="26">
        <f t="shared" si="14"/>
        <v>0.07142857143</v>
      </c>
      <c r="BB38" s="3"/>
      <c r="BC38" s="3"/>
      <c r="BD38" s="3"/>
      <c r="BE38" s="3"/>
      <c r="BF38" s="3"/>
      <c r="BG38" s="105" t="s">
        <v>39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ht="15.75" customHeight="1">
      <c r="A39" s="2">
        <v>3.0</v>
      </c>
      <c r="B39" s="107" t="s">
        <v>40</v>
      </c>
      <c r="C39" s="55"/>
      <c r="D39" s="55"/>
      <c r="E39" s="55"/>
      <c r="F39" s="55"/>
      <c r="G39" s="55"/>
      <c r="H39" s="56"/>
      <c r="I39" s="108">
        <v>14.0</v>
      </c>
      <c r="J39" s="56"/>
      <c r="K39" s="109" t="b">
        <v>0</v>
      </c>
      <c r="L39" s="110" t="b">
        <v>0</v>
      </c>
      <c r="M39" s="110" t="b">
        <v>0</v>
      </c>
      <c r="N39" s="110" t="b">
        <v>0</v>
      </c>
      <c r="O39" s="110" t="b">
        <v>0</v>
      </c>
      <c r="P39" s="110" t="b">
        <v>0</v>
      </c>
      <c r="Q39" s="111" t="b">
        <v>0</v>
      </c>
      <c r="R39" s="109" t="b">
        <v>0</v>
      </c>
      <c r="S39" s="110" t="b">
        <v>0</v>
      </c>
      <c r="T39" s="110" t="b">
        <v>0</v>
      </c>
      <c r="U39" s="110" t="b">
        <v>0</v>
      </c>
      <c r="V39" s="110" t="b">
        <v>0</v>
      </c>
      <c r="W39" s="110" t="b">
        <v>0</v>
      </c>
      <c r="X39" s="111" t="b">
        <v>0</v>
      </c>
      <c r="Y39" s="109" t="b">
        <v>0</v>
      </c>
      <c r="Z39" s="110" t="b">
        <v>0</v>
      </c>
      <c r="AA39" s="110" t="b">
        <v>0</v>
      </c>
      <c r="AB39" s="110" t="b">
        <v>0</v>
      </c>
      <c r="AC39" s="110" t="b">
        <v>0</v>
      </c>
      <c r="AD39" s="110" t="b">
        <v>0</v>
      </c>
      <c r="AE39" s="111" t="b">
        <v>0</v>
      </c>
      <c r="AF39" s="109" t="b">
        <v>0</v>
      </c>
      <c r="AG39" s="110" t="b">
        <v>0</v>
      </c>
      <c r="AH39" s="110" t="b">
        <v>0</v>
      </c>
      <c r="AI39" s="110" t="b">
        <v>0</v>
      </c>
      <c r="AJ39" s="110" t="b">
        <v>0</v>
      </c>
      <c r="AK39" s="110" t="b">
        <v>0</v>
      </c>
      <c r="AL39" s="111" t="b">
        <v>0</v>
      </c>
      <c r="AM39" s="112" t="b">
        <v>0</v>
      </c>
      <c r="AN39" s="110" t="b">
        <v>0</v>
      </c>
      <c r="AO39" s="111" t="b">
        <v>0</v>
      </c>
      <c r="AP39" s="1"/>
      <c r="AQ39" s="1"/>
      <c r="AR39" s="58">
        <f t="shared" si="11"/>
        <v>0</v>
      </c>
      <c r="AS39" s="59">
        <f t="shared" si="12"/>
        <v>14</v>
      </c>
      <c r="AT39" s="113">
        <f t="shared" si="13"/>
        <v>0</v>
      </c>
      <c r="AU39" s="114" t="str">
        <f>IFERROR(__xludf.DUMMYFUNCTION("IF(B39="""","""",SPARKLINE(AT39,{""charttype"",""bar"";""max"",1;""color1"",""#a7c7e7""}))"),"")</f>
        <v/>
      </c>
      <c r="AV39" s="115"/>
      <c r="AW39" s="115"/>
      <c r="AX39" s="115"/>
      <c r="AY39" s="115"/>
      <c r="AZ39" s="116"/>
      <c r="BA39" s="26">
        <f t="shared" si="14"/>
        <v>0</v>
      </c>
      <c r="BB39" s="3"/>
      <c r="BC39" s="3"/>
      <c r="BD39" s="3"/>
      <c r="BE39" s="3"/>
      <c r="BF39" s="3"/>
      <c r="BG39" s="105" t="s">
        <v>37</v>
      </c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ht="15.75" customHeight="1">
      <c r="A40" s="2">
        <v>4.0</v>
      </c>
      <c r="B40" s="107" t="s">
        <v>41</v>
      </c>
      <c r="C40" s="55"/>
      <c r="D40" s="55"/>
      <c r="E40" s="55"/>
      <c r="F40" s="55"/>
      <c r="G40" s="55"/>
      <c r="H40" s="56"/>
      <c r="I40" s="108">
        <v>14.0</v>
      </c>
      <c r="J40" s="56"/>
      <c r="K40" s="109" t="b">
        <v>0</v>
      </c>
      <c r="L40" s="110" t="b">
        <v>0</v>
      </c>
      <c r="M40" s="110" t="b">
        <v>0</v>
      </c>
      <c r="N40" s="110" t="b">
        <v>0</v>
      </c>
      <c r="O40" s="110" t="b">
        <v>0</v>
      </c>
      <c r="P40" s="110" t="b">
        <v>0</v>
      </c>
      <c r="Q40" s="111" t="b">
        <v>0</v>
      </c>
      <c r="R40" s="109" t="b">
        <v>0</v>
      </c>
      <c r="S40" s="110" t="b">
        <v>0</v>
      </c>
      <c r="T40" s="110" t="b">
        <v>0</v>
      </c>
      <c r="U40" s="110" t="b">
        <v>0</v>
      </c>
      <c r="V40" s="117" t="b">
        <v>0</v>
      </c>
      <c r="W40" s="117" t="b">
        <v>0</v>
      </c>
      <c r="X40" s="111" t="b">
        <v>0</v>
      </c>
      <c r="Y40" s="118" t="b">
        <v>0</v>
      </c>
      <c r="Z40" s="117" t="b">
        <v>0</v>
      </c>
      <c r="AA40" s="117" t="b">
        <v>0</v>
      </c>
      <c r="AB40" s="117" t="b">
        <v>0</v>
      </c>
      <c r="AC40" s="117" t="b">
        <v>0</v>
      </c>
      <c r="AD40" s="110" t="b">
        <v>0</v>
      </c>
      <c r="AE40" s="111" t="b">
        <v>0</v>
      </c>
      <c r="AF40" s="109" t="b">
        <v>0</v>
      </c>
      <c r="AG40" s="110" t="b">
        <v>0</v>
      </c>
      <c r="AH40" s="110" t="b">
        <v>0</v>
      </c>
      <c r="AI40" s="110" t="b">
        <v>0</v>
      </c>
      <c r="AJ40" s="110" t="b">
        <v>0</v>
      </c>
      <c r="AK40" s="110" t="b">
        <v>0</v>
      </c>
      <c r="AL40" s="111" t="b">
        <v>0</v>
      </c>
      <c r="AM40" s="112" t="b">
        <v>0</v>
      </c>
      <c r="AN40" s="110" t="b">
        <v>0</v>
      </c>
      <c r="AO40" s="111" t="b">
        <v>0</v>
      </c>
      <c r="AP40" s="1"/>
      <c r="AQ40" s="1"/>
      <c r="AR40" s="58">
        <f t="shared" si="11"/>
        <v>0</v>
      </c>
      <c r="AS40" s="59">
        <f t="shared" si="12"/>
        <v>14</v>
      </c>
      <c r="AT40" s="113">
        <f t="shared" si="13"/>
        <v>0</v>
      </c>
      <c r="AU40" s="114" t="str">
        <f>IFERROR(__xludf.DUMMYFUNCTION("IF(B40="""","""",SPARKLINE(AT40,{""charttype"",""bar"";""max"",1;""color1"",""#a7c7e7""}))"),"")</f>
        <v/>
      </c>
      <c r="AV40" s="115"/>
      <c r="AW40" s="115"/>
      <c r="AX40" s="115"/>
      <c r="AY40" s="115"/>
      <c r="AZ40" s="116"/>
      <c r="BA40" s="26">
        <f t="shared" si="14"/>
        <v>0</v>
      </c>
      <c r="BB40" s="3"/>
      <c r="BC40" s="3"/>
      <c r="BD40" s="3"/>
      <c r="BE40" s="3"/>
      <c r="BF40" s="3"/>
      <c r="BG40" s="105" t="s">
        <v>40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ht="15.75" customHeight="1">
      <c r="A41" s="2">
        <v>5.0</v>
      </c>
      <c r="B41" s="107" t="s">
        <v>42</v>
      </c>
      <c r="C41" s="55"/>
      <c r="D41" s="55"/>
      <c r="E41" s="55"/>
      <c r="F41" s="55"/>
      <c r="G41" s="55"/>
      <c r="H41" s="56"/>
      <c r="I41" s="108">
        <v>14.0</v>
      </c>
      <c r="J41" s="56"/>
      <c r="K41" s="109" t="b">
        <v>0</v>
      </c>
      <c r="L41" s="110" t="b">
        <v>0</v>
      </c>
      <c r="M41" s="110" t="b">
        <v>0</v>
      </c>
      <c r="N41" s="110" t="b">
        <v>0</v>
      </c>
      <c r="O41" s="110" t="b">
        <v>0</v>
      </c>
      <c r="P41" s="110" t="b">
        <v>0</v>
      </c>
      <c r="Q41" s="111" t="b">
        <v>0</v>
      </c>
      <c r="R41" s="109" t="b">
        <v>0</v>
      </c>
      <c r="S41" s="110" t="b">
        <v>0</v>
      </c>
      <c r="T41" s="110" t="b">
        <v>0</v>
      </c>
      <c r="U41" s="110" t="b">
        <v>0</v>
      </c>
      <c r="V41" s="110" t="b">
        <v>0</v>
      </c>
      <c r="W41" s="110" t="b">
        <v>0</v>
      </c>
      <c r="X41" s="111" t="b">
        <v>0</v>
      </c>
      <c r="Y41" s="109" t="b">
        <v>0</v>
      </c>
      <c r="Z41" s="110" t="b">
        <v>0</v>
      </c>
      <c r="AA41" s="110" t="b">
        <v>0</v>
      </c>
      <c r="AB41" s="117" t="b">
        <v>0</v>
      </c>
      <c r="AC41" s="117" t="b">
        <v>0</v>
      </c>
      <c r="AD41" s="117" t="b">
        <v>0</v>
      </c>
      <c r="AE41" s="119" t="b">
        <v>0</v>
      </c>
      <c r="AF41" s="118" t="b">
        <v>0</v>
      </c>
      <c r="AG41" s="117" t="b">
        <v>0</v>
      </c>
      <c r="AH41" s="110" t="b">
        <v>0</v>
      </c>
      <c r="AI41" s="110" t="b">
        <v>0</v>
      </c>
      <c r="AJ41" s="110" t="b">
        <v>0</v>
      </c>
      <c r="AK41" s="110" t="b">
        <v>0</v>
      </c>
      <c r="AL41" s="111" t="b">
        <v>0</v>
      </c>
      <c r="AM41" s="112" t="b">
        <v>0</v>
      </c>
      <c r="AN41" s="110" t="b">
        <v>0</v>
      </c>
      <c r="AO41" s="111" t="b">
        <v>0</v>
      </c>
      <c r="AP41" s="1"/>
      <c r="AQ41" s="1"/>
      <c r="AR41" s="58">
        <f t="shared" si="11"/>
        <v>0</v>
      </c>
      <c r="AS41" s="59">
        <f t="shared" si="12"/>
        <v>14</v>
      </c>
      <c r="AT41" s="113">
        <f t="shared" si="13"/>
        <v>0</v>
      </c>
      <c r="AU41" s="114" t="str">
        <f>IFERROR(__xludf.DUMMYFUNCTION("IF(B41="""","""",SPARKLINE(AT41,{""charttype"",""bar"";""max"",1;""color1"",""#a7c7e7""}))"),"")</f>
        <v/>
      </c>
      <c r="AV41" s="115"/>
      <c r="AW41" s="115"/>
      <c r="AX41" s="115"/>
      <c r="AY41" s="115"/>
      <c r="AZ41" s="116"/>
      <c r="BA41" s="26">
        <f t="shared" si="14"/>
        <v>0</v>
      </c>
      <c r="BB41" s="3"/>
      <c r="BC41" s="3"/>
      <c r="BD41" s="3"/>
      <c r="BE41" s="3"/>
      <c r="BF41" s="3"/>
      <c r="BG41" s="105" t="s">
        <v>41</v>
      </c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ht="15.75" customHeight="1">
      <c r="A42" s="2">
        <v>6.0</v>
      </c>
      <c r="B42" s="107" t="s">
        <v>43</v>
      </c>
      <c r="C42" s="55"/>
      <c r="D42" s="55"/>
      <c r="E42" s="55"/>
      <c r="F42" s="55"/>
      <c r="G42" s="55"/>
      <c r="H42" s="56"/>
      <c r="I42" s="108">
        <v>14.0</v>
      </c>
      <c r="J42" s="56"/>
      <c r="K42" s="109" t="b">
        <v>0</v>
      </c>
      <c r="L42" s="110" t="b">
        <v>0</v>
      </c>
      <c r="M42" s="110" t="b">
        <v>0</v>
      </c>
      <c r="N42" s="110" t="b">
        <v>0</v>
      </c>
      <c r="O42" s="110" t="b">
        <v>0</v>
      </c>
      <c r="P42" s="110" t="b">
        <v>0</v>
      </c>
      <c r="Q42" s="111" t="b">
        <v>0</v>
      </c>
      <c r="R42" s="109" t="b">
        <v>0</v>
      </c>
      <c r="S42" s="110" t="b">
        <v>0</v>
      </c>
      <c r="T42" s="110" t="b">
        <v>0</v>
      </c>
      <c r="U42" s="110" t="b">
        <v>0</v>
      </c>
      <c r="V42" s="117" t="b">
        <v>0</v>
      </c>
      <c r="W42" s="117" t="b">
        <v>0</v>
      </c>
      <c r="X42" s="119" t="b">
        <v>0</v>
      </c>
      <c r="Y42" s="118" t="b">
        <v>0</v>
      </c>
      <c r="Z42" s="117" t="b">
        <v>0</v>
      </c>
      <c r="AA42" s="117" t="b">
        <v>0</v>
      </c>
      <c r="AB42" s="117" t="b">
        <v>0</v>
      </c>
      <c r="AC42" s="110" t="b">
        <v>0</v>
      </c>
      <c r="AD42" s="117" t="b">
        <v>0</v>
      </c>
      <c r="AE42" s="119" t="b">
        <v>0</v>
      </c>
      <c r="AF42" s="118" t="b">
        <v>0</v>
      </c>
      <c r="AG42" s="110" t="b">
        <v>0</v>
      </c>
      <c r="AH42" s="110" t="b">
        <v>0</v>
      </c>
      <c r="AI42" s="110" t="b">
        <v>0</v>
      </c>
      <c r="AJ42" s="110" t="b">
        <v>0</v>
      </c>
      <c r="AK42" s="110" t="b">
        <v>0</v>
      </c>
      <c r="AL42" s="111" t="b">
        <v>0</v>
      </c>
      <c r="AM42" s="112" t="b">
        <v>0</v>
      </c>
      <c r="AN42" s="117" t="b">
        <v>0</v>
      </c>
      <c r="AO42" s="119" t="b">
        <v>0</v>
      </c>
      <c r="AP42" s="1"/>
      <c r="AQ42" s="1"/>
      <c r="AR42" s="58">
        <f t="shared" si="11"/>
        <v>0</v>
      </c>
      <c r="AS42" s="59">
        <f t="shared" si="12"/>
        <v>14</v>
      </c>
      <c r="AT42" s="113">
        <f t="shared" si="13"/>
        <v>0</v>
      </c>
      <c r="AU42" s="114" t="str">
        <f>IFERROR(__xludf.DUMMYFUNCTION("IF(B42="""","""",SPARKLINE(AT42,{""charttype"",""bar"";""max"",1;""color1"",""#a7c7e7""}))"),"")</f>
        <v/>
      </c>
      <c r="AV42" s="115"/>
      <c r="AW42" s="115"/>
      <c r="AX42" s="115"/>
      <c r="AY42" s="115"/>
      <c r="AZ42" s="116"/>
      <c r="BA42" s="26">
        <f t="shared" si="14"/>
        <v>0</v>
      </c>
      <c r="BB42" s="3"/>
      <c r="BC42" s="3"/>
      <c r="BD42" s="3"/>
      <c r="BE42" s="3"/>
      <c r="BF42" s="3"/>
      <c r="BG42" s="105" t="s">
        <v>42</v>
      </c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ht="15.75" customHeight="1">
      <c r="A43" s="2">
        <v>7.0</v>
      </c>
      <c r="B43" s="107" t="s">
        <v>44</v>
      </c>
      <c r="C43" s="55"/>
      <c r="D43" s="55"/>
      <c r="E43" s="55"/>
      <c r="F43" s="55"/>
      <c r="G43" s="55"/>
      <c r="H43" s="56"/>
      <c r="I43" s="108">
        <v>14.0</v>
      </c>
      <c r="J43" s="56"/>
      <c r="K43" s="109" t="b">
        <v>0</v>
      </c>
      <c r="L43" s="110" t="b">
        <v>0</v>
      </c>
      <c r="M43" s="110" t="b">
        <v>0</v>
      </c>
      <c r="N43" s="110" t="b">
        <v>0</v>
      </c>
      <c r="O43" s="110" t="b">
        <v>0</v>
      </c>
      <c r="P43" s="110" t="b">
        <v>0</v>
      </c>
      <c r="Q43" s="111" t="b">
        <v>0</v>
      </c>
      <c r="R43" s="109" t="b">
        <v>0</v>
      </c>
      <c r="S43" s="110" t="b">
        <v>0</v>
      </c>
      <c r="T43" s="110" t="b">
        <v>0</v>
      </c>
      <c r="U43" s="110" t="b">
        <v>0</v>
      </c>
      <c r="V43" s="117" t="b">
        <v>0</v>
      </c>
      <c r="W43" s="117" t="b">
        <v>0</v>
      </c>
      <c r="X43" s="111" t="b">
        <v>0</v>
      </c>
      <c r="Y43" s="118" t="b">
        <v>0</v>
      </c>
      <c r="Z43" s="117" t="b">
        <v>0</v>
      </c>
      <c r="AA43" s="117" t="b">
        <v>0</v>
      </c>
      <c r="AB43" s="117" t="b">
        <v>0</v>
      </c>
      <c r="AC43" s="117" t="b">
        <v>0</v>
      </c>
      <c r="AD43" s="117" t="b">
        <v>0</v>
      </c>
      <c r="AE43" s="119" t="b">
        <v>0</v>
      </c>
      <c r="AF43" s="118" t="b">
        <v>0</v>
      </c>
      <c r="AG43" s="117" t="b">
        <v>0</v>
      </c>
      <c r="AH43" s="117" t="b">
        <v>0</v>
      </c>
      <c r="AI43" s="110" t="b">
        <v>0</v>
      </c>
      <c r="AJ43" s="110" t="b">
        <v>0</v>
      </c>
      <c r="AK43" s="110" t="b">
        <v>0</v>
      </c>
      <c r="AL43" s="111" t="b">
        <v>0</v>
      </c>
      <c r="AM43" s="112" t="b">
        <v>0</v>
      </c>
      <c r="AN43" s="117" t="b">
        <v>0</v>
      </c>
      <c r="AO43" s="119" t="b">
        <v>0</v>
      </c>
      <c r="AP43" s="1"/>
      <c r="AQ43" s="1"/>
      <c r="AR43" s="58">
        <f t="shared" si="11"/>
        <v>0</v>
      </c>
      <c r="AS43" s="59">
        <f t="shared" si="12"/>
        <v>14</v>
      </c>
      <c r="AT43" s="113">
        <f t="shared" si="13"/>
        <v>0</v>
      </c>
      <c r="AU43" s="114" t="str">
        <f>IFERROR(__xludf.DUMMYFUNCTION("IF(B43="""","""",SPARKLINE(AT43,{""charttype"",""bar"";""max"",1;""color1"",""#a7c7e7""}))"),"")</f>
        <v/>
      </c>
      <c r="AV43" s="115"/>
      <c r="AW43" s="115"/>
      <c r="AX43" s="115"/>
      <c r="AY43" s="115"/>
      <c r="AZ43" s="116"/>
      <c r="BA43" s="26">
        <f t="shared" si="14"/>
        <v>0</v>
      </c>
      <c r="BB43" s="3"/>
      <c r="BC43" s="3"/>
      <c r="BD43" s="3"/>
      <c r="BE43" s="3"/>
      <c r="BF43" s="3"/>
      <c r="BG43" s="105" t="s">
        <v>43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ht="15.75" customHeight="1">
      <c r="A44" s="2">
        <v>8.0</v>
      </c>
      <c r="B44" s="107" t="s">
        <v>45</v>
      </c>
      <c r="C44" s="55"/>
      <c r="D44" s="55"/>
      <c r="E44" s="55"/>
      <c r="F44" s="55"/>
      <c r="G44" s="55"/>
      <c r="H44" s="56"/>
      <c r="I44" s="108">
        <v>14.0</v>
      </c>
      <c r="J44" s="56"/>
      <c r="K44" s="109" t="b">
        <v>0</v>
      </c>
      <c r="L44" s="110" t="b">
        <v>0</v>
      </c>
      <c r="M44" s="110" t="b">
        <v>0</v>
      </c>
      <c r="N44" s="110"/>
      <c r="O44" s="110" t="b">
        <v>0</v>
      </c>
      <c r="P44" s="110" t="b">
        <v>0</v>
      </c>
      <c r="Q44" s="111" t="b">
        <v>0</v>
      </c>
      <c r="R44" s="109" t="b">
        <v>0</v>
      </c>
      <c r="S44" s="110" t="b">
        <v>0</v>
      </c>
      <c r="T44" s="110" t="b">
        <v>0</v>
      </c>
      <c r="V44" s="110" t="b">
        <v>0</v>
      </c>
      <c r="W44" s="117" t="b">
        <v>0</v>
      </c>
      <c r="X44" s="119" t="b">
        <v>0</v>
      </c>
      <c r="Y44" s="118" t="b">
        <v>0</v>
      </c>
      <c r="Z44" s="110" t="b">
        <v>0</v>
      </c>
      <c r="AA44" s="117" t="b">
        <v>0</v>
      </c>
      <c r="AB44" s="110" t="b">
        <v>0</v>
      </c>
      <c r="AC44" s="117" t="b">
        <v>0</v>
      </c>
      <c r="AD44" s="117" t="b">
        <v>0</v>
      </c>
      <c r="AE44" s="119" t="b">
        <v>0</v>
      </c>
      <c r="AF44" s="118" t="b">
        <v>0</v>
      </c>
      <c r="AG44" s="117" t="b">
        <v>0</v>
      </c>
      <c r="AH44" s="117" t="b">
        <v>0</v>
      </c>
      <c r="AI44" s="110" t="b">
        <v>0</v>
      </c>
      <c r="AJ44" s="110" t="b">
        <v>0</v>
      </c>
      <c r="AK44" s="110" t="b">
        <v>0</v>
      </c>
      <c r="AL44" s="119" t="b">
        <v>0</v>
      </c>
      <c r="AM44" s="120" t="b">
        <v>0</v>
      </c>
      <c r="AN44" s="117" t="b">
        <v>0</v>
      </c>
      <c r="AO44" s="119" t="b">
        <v>0</v>
      </c>
      <c r="AP44" s="1"/>
      <c r="AQ44" s="1"/>
      <c r="AR44" s="58">
        <f t="shared" si="11"/>
        <v>0</v>
      </c>
      <c r="AS44" s="59">
        <f t="shared" si="12"/>
        <v>14</v>
      </c>
      <c r="AT44" s="113">
        <f t="shared" si="13"/>
        <v>0</v>
      </c>
      <c r="AU44" s="114" t="str">
        <f>IFERROR(__xludf.DUMMYFUNCTION("IF(B44="""","""",SPARKLINE(AT44,{""charttype"",""bar"";""max"",1;""color1"",""#a7c7e7""}))"),"")</f>
        <v/>
      </c>
      <c r="AV44" s="115"/>
      <c r="AW44" s="115"/>
      <c r="AX44" s="115"/>
      <c r="AY44" s="115"/>
      <c r="AZ44" s="116"/>
      <c r="BA44" s="26">
        <f t="shared" si="14"/>
        <v>0</v>
      </c>
      <c r="BB44" s="3"/>
      <c r="BC44" s="3"/>
      <c r="BD44" s="3"/>
      <c r="BE44" s="3"/>
      <c r="BF44" s="3"/>
      <c r="BG44" s="105" t="s">
        <v>44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</row>
    <row r="45" ht="15.75" customHeight="1">
      <c r="A45" s="2">
        <v>9.0</v>
      </c>
      <c r="B45" s="107" t="s">
        <v>46</v>
      </c>
      <c r="C45" s="55"/>
      <c r="D45" s="55"/>
      <c r="E45" s="55"/>
      <c r="F45" s="55"/>
      <c r="G45" s="55"/>
      <c r="H45" s="56"/>
      <c r="I45" s="108">
        <v>30.0</v>
      </c>
      <c r="J45" s="56"/>
      <c r="K45" s="109" t="b">
        <v>0</v>
      </c>
      <c r="L45" s="110" t="b">
        <v>0</v>
      </c>
      <c r="M45" s="110" t="b">
        <v>0</v>
      </c>
      <c r="N45" s="110" t="b">
        <v>0</v>
      </c>
      <c r="O45" s="110" t="b">
        <v>0</v>
      </c>
      <c r="P45" s="110" t="b">
        <v>0</v>
      </c>
      <c r="Q45" s="111" t="b">
        <v>0</v>
      </c>
      <c r="R45" s="109" t="b">
        <v>0</v>
      </c>
      <c r="S45" s="110" t="b">
        <v>0</v>
      </c>
      <c r="T45" s="110" t="b">
        <v>0</v>
      </c>
      <c r="U45" s="110" t="b">
        <v>0</v>
      </c>
      <c r="V45" s="110" t="b">
        <v>0</v>
      </c>
      <c r="W45" s="117" t="b">
        <v>0</v>
      </c>
      <c r="X45" s="119" t="b">
        <v>0</v>
      </c>
      <c r="Y45" s="118" t="b">
        <v>0</v>
      </c>
      <c r="Z45" s="117" t="b">
        <v>0</v>
      </c>
      <c r="AA45" s="117" t="b">
        <v>0</v>
      </c>
      <c r="AB45" s="117" t="b">
        <v>0</v>
      </c>
      <c r="AC45" s="117" t="b">
        <v>0</v>
      </c>
      <c r="AD45" s="117" t="b">
        <v>0</v>
      </c>
      <c r="AE45" s="119" t="b">
        <v>0</v>
      </c>
      <c r="AF45" s="118" t="b">
        <v>0</v>
      </c>
      <c r="AG45" s="117" t="b">
        <v>0</v>
      </c>
      <c r="AH45" s="117" t="b">
        <v>0</v>
      </c>
      <c r="AI45" s="110" t="b">
        <v>0</v>
      </c>
      <c r="AJ45" s="110" t="b">
        <v>0</v>
      </c>
      <c r="AK45" s="110" t="b">
        <v>0</v>
      </c>
      <c r="AL45" s="119" t="b">
        <v>0</v>
      </c>
      <c r="AM45" s="120" t="b">
        <v>0</v>
      </c>
      <c r="AN45" s="117" t="b">
        <v>0</v>
      </c>
      <c r="AO45" s="119" t="b">
        <v>0</v>
      </c>
      <c r="AP45" s="1"/>
      <c r="AQ45" s="1"/>
      <c r="AR45" s="58">
        <f t="shared" si="11"/>
        <v>0</v>
      </c>
      <c r="AS45" s="59">
        <f t="shared" si="12"/>
        <v>30</v>
      </c>
      <c r="AT45" s="113">
        <f t="shared" si="13"/>
        <v>0</v>
      </c>
      <c r="AU45" s="114" t="str">
        <f>IFERROR(__xludf.DUMMYFUNCTION("IF(B45="""","""",SPARKLINE(AT45,{""charttype"",""bar"";""max"",1;""color1"",""#a7c7e7""}))"),"")</f>
        <v/>
      </c>
      <c r="AV45" s="115"/>
      <c r="AW45" s="115"/>
      <c r="AX45" s="115"/>
      <c r="AY45" s="115"/>
      <c r="AZ45" s="116"/>
      <c r="BA45" s="26">
        <f t="shared" si="14"/>
        <v>0</v>
      </c>
      <c r="BB45" s="3"/>
      <c r="BC45" s="3"/>
      <c r="BD45" s="3"/>
      <c r="BE45" s="3"/>
      <c r="BF45" s="3"/>
      <c r="BG45" s="105" t="s">
        <v>45</v>
      </c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</row>
    <row r="46" ht="15.75" customHeight="1">
      <c r="A46" s="2">
        <v>10.0</v>
      </c>
      <c r="B46" s="107" t="s">
        <v>47</v>
      </c>
      <c r="C46" s="55"/>
      <c r="D46" s="55"/>
      <c r="E46" s="55"/>
      <c r="F46" s="55"/>
      <c r="G46" s="55"/>
      <c r="H46" s="56"/>
      <c r="I46" s="108">
        <v>14.0</v>
      </c>
      <c r="J46" s="56"/>
      <c r="K46" s="109" t="b">
        <v>0</v>
      </c>
      <c r="L46" s="110" t="b">
        <v>0</v>
      </c>
      <c r="M46" s="110" t="b">
        <v>0</v>
      </c>
      <c r="N46" s="110" t="b">
        <v>0</v>
      </c>
      <c r="O46" s="110" t="b">
        <v>0</v>
      </c>
      <c r="P46" s="110" t="b">
        <v>0</v>
      </c>
      <c r="Q46" s="111" t="b">
        <v>0</v>
      </c>
      <c r="R46" s="109" t="b">
        <v>0</v>
      </c>
      <c r="S46" s="110" t="b">
        <v>0</v>
      </c>
      <c r="T46" s="110" t="b">
        <v>0</v>
      </c>
      <c r="U46" s="110" t="b">
        <v>0</v>
      </c>
      <c r="V46" s="110" t="b">
        <v>0</v>
      </c>
      <c r="W46" s="117" t="b">
        <v>0</v>
      </c>
      <c r="X46" s="119" t="b">
        <v>0</v>
      </c>
      <c r="Y46" s="118" t="b">
        <v>0</v>
      </c>
      <c r="Z46" s="110" t="b">
        <v>0</v>
      </c>
      <c r="AA46" s="117" t="b">
        <v>0</v>
      </c>
      <c r="AB46" s="117" t="b">
        <v>0</v>
      </c>
      <c r="AC46" s="117" t="b">
        <v>0</v>
      </c>
      <c r="AD46" s="110" t="b">
        <v>0</v>
      </c>
      <c r="AE46" s="119" t="b">
        <v>0</v>
      </c>
      <c r="AF46" s="118" t="b">
        <v>0</v>
      </c>
      <c r="AG46" s="117" t="b">
        <v>0</v>
      </c>
      <c r="AH46" s="117" t="b">
        <v>0</v>
      </c>
      <c r="AI46" s="117" t="b">
        <v>0</v>
      </c>
      <c r="AJ46" s="117" t="b">
        <v>0</v>
      </c>
      <c r="AK46" s="117" t="b">
        <v>0</v>
      </c>
      <c r="AL46" s="119" t="b">
        <v>0</v>
      </c>
      <c r="AM46" s="120" t="b">
        <v>0</v>
      </c>
      <c r="AN46" s="117" t="b">
        <v>0</v>
      </c>
      <c r="AO46" s="119" t="b">
        <v>0</v>
      </c>
      <c r="AP46" s="1"/>
      <c r="AQ46" s="1"/>
      <c r="AR46" s="58">
        <f t="shared" si="11"/>
        <v>0</v>
      </c>
      <c r="AS46" s="59">
        <f t="shared" si="12"/>
        <v>14</v>
      </c>
      <c r="AT46" s="113">
        <f t="shared" si="13"/>
        <v>0</v>
      </c>
      <c r="AU46" s="114" t="str">
        <f>IFERROR(__xludf.DUMMYFUNCTION("IF(B46="""","""",SPARKLINE(AT46,{""charttype"",""bar"";""max"",1;""color1"",""#a7c7e7""}))"),"")</f>
        <v/>
      </c>
      <c r="AV46" s="115"/>
      <c r="AW46" s="115"/>
      <c r="AX46" s="115"/>
      <c r="AY46" s="115"/>
      <c r="AZ46" s="116"/>
      <c r="BA46" s="26">
        <f t="shared" si="14"/>
        <v>0</v>
      </c>
      <c r="BB46" s="3"/>
      <c r="BC46" s="3"/>
      <c r="BD46" s="3"/>
      <c r="BE46" s="3"/>
      <c r="BF46" s="3"/>
      <c r="BG46" s="3" t="s">
        <v>46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ht="15.75" customHeight="1">
      <c r="A47" s="2">
        <v>11.0</v>
      </c>
      <c r="B47" s="107" t="s">
        <v>48</v>
      </c>
      <c r="C47" s="55"/>
      <c r="D47" s="55"/>
      <c r="E47" s="55"/>
      <c r="F47" s="55"/>
      <c r="G47" s="55"/>
      <c r="H47" s="56"/>
      <c r="I47" s="108">
        <v>14.0</v>
      </c>
      <c r="J47" s="56"/>
      <c r="K47" s="109" t="b">
        <v>0</v>
      </c>
      <c r="L47" s="110" t="b">
        <v>0</v>
      </c>
      <c r="M47" s="110" t="b">
        <v>0</v>
      </c>
      <c r="N47" s="110" t="b">
        <v>0</v>
      </c>
      <c r="O47" s="110" t="b">
        <v>0</v>
      </c>
      <c r="P47" s="110" t="b">
        <v>0</v>
      </c>
      <c r="Q47" s="111" t="b">
        <v>0</v>
      </c>
      <c r="R47" s="109" t="b">
        <v>0</v>
      </c>
      <c r="S47" s="110" t="b">
        <v>0</v>
      </c>
      <c r="T47" s="110" t="b">
        <v>0</v>
      </c>
      <c r="U47" s="110" t="b">
        <v>0</v>
      </c>
      <c r="V47" s="110" t="b">
        <v>0</v>
      </c>
      <c r="W47" s="117" t="b">
        <v>0</v>
      </c>
      <c r="X47" s="111" t="b">
        <v>0</v>
      </c>
      <c r="Y47" s="109" t="b">
        <v>0</v>
      </c>
      <c r="Z47" s="117" t="b">
        <v>0</v>
      </c>
      <c r="AA47" s="117" t="b">
        <v>0</v>
      </c>
      <c r="AB47" s="117" t="b">
        <v>0</v>
      </c>
      <c r="AC47" s="110" t="b">
        <v>0</v>
      </c>
      <c r="AD47" s="110" t="b">
        <v>0</v>
      </c>
      <c r="AE47" s="119" t="b">
        <v>0</v>
      </c>
      <c r="AF47" s="109" t="b">
        <v>0</v>
      </c>
      <c r="AG47" s="110" t="b">
        <v>0</v>
      </c>
      <c r="AH47" s="117" t="b">
        <v>0</v>
      </c>
      <c r="AI47" s="117" t="b">
        <v>0</v>
      </c>
      <c r="AJ47" s="117" t="b">
        <v>0</v>
      </c>
      <c r="AK47" s="117" t="b">
        <v>0</v>
      </c>
      <c r="AL47" s="119" t="b">
        <v>0</v>
      </c>
      <c r="AM47" s="120" t="b">
        <v>0</v>
      </c>
      <c r="AN47" s="117" t="b">
        <v>0</v>
      </c>
      <c r="AO47" s="119" t="b">
        <v>0</v>
      </c>
      <c r="AP47" s="1"/>
      <c r="AQ47" s="1"/>
      <c r="AR47" s="58">
        <f t="shared" si="11"/>
        <v>0</v>
      </c>
      <c r="AS47" s="59">
        <f t="shared" si="12"/>
        <v>14</v>
      </c>
      <c r="AT47" s="113">
        <f t="shared" si="13"/>
        <v>0</v>
      </c>
      <c r="AU47" s="114" t="str">
        <f>IFERROR(__xludf.DUMMYFUNCTION("IF(B47="""","""",SPARKLINE(AT47,{""charttype"",""bar"";""max"",1;""color1"",""#a7c7e7""}))"),"")</f>
        <v/>
      </c>
      <c r="AV47" s="115"/>
      <c r="AW47" s="115"/>
      <c r="AX47" s="115"/>
      <c r="AY47" s="115"/>
      <c r="AZ47" s="116"/>
      <c r="BA47" s="26">
        <f t="shared" si="14"/>
        <v>0</v>
      </c>
      <c r="BB47" s="3"/>
      <c r="BC47" s="3"/>
      <c r="BD47" s="3"/>
      <c r="BE47" s="3"/>
      <c r="BF47" s="3"/>
      <c r="BG47" s="3" t="s">
        <v>47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ht="15.75" customHeight="1">
      <c r="A48" s="2">
        <v>12.0</v>
      </c>
      <c r="B48" s="107" t="s">
        <v>39</v>
      </c>
      <c r="C48" s="55"/>
      <c r="D48" s="55"/>
      <c r="E48" s="55"/>
      <c r="F48" s="55"/>
      <c r="G48" s="55"/>
      <c r="H48" s="56"/>
      <c r="I48" s="108">
        <v>14.0</v>
      </c>
      <c r="J48" s="56"/>
      <c r="K48" s="109" t="b">
        <v>1</v>
      </c>
      <c r="L48" s="110" t="b">
        <v>0</v>
      </c>
      <c r="M48" s="110" t="b">
        <v>0</v>
      </c>
      <c r="N48" s="110" t="b">
        <v>0</v>
      </c>
      <c r="O48" s="110" t="b">
        <v>0</v>
      </c>
      <c r="P48" s="110" t="b">
        <v>0</v>
      </c>
      <c r="Q48" s="111" t="b">
        <v>0</v>
      </c>
      <c r="R48" s="109" t="b">
        <v>0</v>
      </c>
      <c r="S48" s="110" t="b">
        <v>0</v>
      </c>
      <c r="T48" s="110" t="b">
        <v>0</v>
      </c>
      <c r="U48" s="110" t="b">
        <v>0</v>
      </c>
      <c r="V48" s="110" t="b">
        <v>0</v>
      </c>
      <c r="W48" s="110" t="b">
        <v>0</v>
      </c>
      <c r="X48" s="111" t="b">
        <v>0</v>
      </c>
      <c r="Y48" s="109" t="b">
        <v>0</v>
      </c>
      <c r="Z48" s="110" t="b">
        <v>0</v>
      </c>
      <c r="AA48" s="117" t="b">
        <v>0</v>
      </c>
      <c r="AB48" s="117" t="b">
        <v>0</v>
      </c>
      <c r="AC48" s="117" t="b">
        <v>0</v>
      </c>
      <c r="AD48" s="117" t="b">
        <v>0</v>
      </c>
      <c r="AE48" s="119" t="b">
        <v>0</v>
      </c>
      <c r="AF48" s="118" t="b">
        <v>0</v>
      </c>
      <c r="AG48" s="117" t="b">
        <v>0</v>
      </c>
      <c r="AH48" s="117" t="b">
        <v>0</v>
      </c>
      <c r="AI48" s="117" t="b">
        <v>0</v>
      </c>
      <c r="AJ48" s="117" t="b">
        <v>0</v>
      </c>
      <c r="AK48" s="117" t="b">
        <v>0</v>
      </c>
      <c r="AL48" s="119" t="b">
        <v>0</v>
      </c>
      <c r="AM48" s="120" t="b">
        <v>0</v>
      </c>
      <c r="AN48" s="117" t="b">
        <v>0</v>
      </c>
      <c r="AO48" s="119" t="b">
        <v>0</v>
      </c>
      <c r="AP48" s="1"/>
      <c r="AQ48" s="1"/>
      <c r="AR48" s="58">
        <f t="shared" si="11"/>
        <v>1</v>
      </c>
      <c r="AS48" s="59">
        <f t="shared" si="12"/>
        <v>13</v>
      </c>
      <c r="AT48" s="113">
        <f t="shared" si="13"/>
        <v>0.07142857143</v>
      </c>
      <c r="AU48" s="114" t="str">
        <f>IFERROR(__xludf.DUMMYFUNCTION("IF(B48="""","""",SPARKLINE(AT48,{""charttype"",""bar"";""max"",1;""color1"",""#a7c7e7""}))"),"")</f>
        <v/>
      </c>
      <c r="AV48" s="115"/>
      <c r="AW48" s="115"/>
      <c r="AX48" s="115"/>
      <c r="AY48" s="115"/>
      <c r="AZ48" s="116"/>
      <c r="BA48" s="26">
        <f t="shared" si="14"/>
        <v>0.07142857143</v>
      </c>
      <c r="BB48" s="3"/>
      <c r="BC48" s="3"/>
      <c r="BD48" s="3"/>
      <c r="BE48" s="3"/>
      <c r="BF48" s="3"/>
      <c r="BG48" s="3" t="s">
        <v>48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ht="15.75" customHeight="1">
      <c r="A49" s="2">
        <v>13.0</v>
      </c>
      <c r="B49" s="107" t="s">
        <v>49</v>
      </c>
      <c r="C49" s="55"/>
      <c r="D49" s="55"/>
      <c r="E49" s="55"/>
      <c r="F49" s="55"/>
      <c r="G49" s="55"/>
      <c r="H49" s="56"/>
      <c r="I49" s="108"/>
      <c r="J49" s="56"/>
      <c r="K49" s="118" t="b">
        <v>0</v>
      </c>
      <c r="L49" s="117" t="b">
        <v>0</v>
      </c>
      <c r="M49" s="117" t="b">
        <v>0</v>
      </c>
      <c r="N49" s="117" t="b">
        <v>0</v>
      </c>
      <c r="O49" s="117" t="b">
        <v>0</v>
      </c>
      <c r="P49" s="110" t="b">
        <v>0</v>
      </c>
      <c r="Q49" s="119" t="b">
        <v>0</v>
      </c>
      <c r="R49" s="118" t="b">
        <v>0</v>
      </c>
      <c r="S49" s="117" t="b">
        <v>0</v>
      </c>
      <c r="T49" s="117" t="b">
        <v>0</v>
      </c>
      <c r="U49" s="117" t="b">
        <v>0</v>
      </c>
      <c r="V49" s="117" t="b">
        <v>0</v>
      </c>
      <c r="W49" s="117" t="b">
        <v>0</v>
      </c>
      <c r="X49" s="119" t="b">
        <v>0</v>
      </c>
      <c r="Y49" s="118" t="b">
        <v>0</v>
      </c>
      <c r="Z49" s="117" t="b">
        <v>0</v>
      </c>
      <c r="AA49" s="117" t="b">
        <v>0</v>
      </c>
      <c r="AB49" s="117" t="b">
        <v>0</v>
      </c>
      <c r="AC49" s="117" t="b">
        <v>0</v>
      </c>
      <c r="AD49" s="117" t="b">
        <v>0</v>
      </c>
      <c r="AE49" s="119" t="b">
        <v>0</v>
      </c>
      <c r="AF49" s="118" t="b">
        <v>0</v>
      </c>
      <c r="AG49" s="117" t="b">
        <v>0</v>
      </c>
      <c r="AH49" s="117" t="b">
        <v>0</v>
      </c>
      <c r="AI49" s="117" t="b">
        <v>0</v>
      </c>
      <c r="AJ49" s="117" t="b">
        <v>0</v>
      </c>
      <c r="AK49" s="117" t="b">
        <v>0</v>
      </c>
      <c r="AL49" s="119" t="b">
        <v>0</v>
      </c>
      <c r="AM49" s="120" t="b">
        <v>0</v>
      </c>
      <c r="AN49" s="117" t="b">
        <v>0</v>
      </c>
      <c r="AO49" s="119" t="b">
        <v>0</v>
      </c>
      <c r="AP49" s="1"/>
      <c r="AQ49" s="1"/>
      <c r="AR49" s="58">
        <f t="shared" si="11"/>
        <v>0</v>
      </c>
      <c r="AS49" s="59">
        <f t="shared" si="12"/>
        <v>0</v>
      </c>
      <c r="AT49" s="113" t="str">
        <f t="shared" si="13"/>
        <v/>
      </c>
      <c r="AU49" s="114" t="str">
        <f>IFERROR(__xludf.DUMMYFUNCTION("IF(B49="""","""",SPARKLINE(AT49,{""charttype"",""bar"";""max"",1;""color1"",""#a7c7e7""}))"),"#N/A")</f>
        <v>#N/A</v>
      </c>
      <c r="AV49" s="115"/>
      <c r="AW49" s="115"/>
      <c r="AX49" s="115"/>
      <c r="AY49" s="115"/>
      <c r="AZ49" s="116"/>
      <c r="BA49" s="26">
        <f t="shared" si="14"/>
        <v>0</v>
      </c>
      <c r="BB49" s="3"/>
      <c r="BC49" s="3"/>
      <c r="BD49" s="3"/>
      <c r="BE49" s="3"/>
      <c r="BF49" s="3"/>
      <c r="BG49" s="3" t="s">
        <v>49</v>
      </c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ht="15.75" customHeight="1">
      <c r="A50" s="2">
        <v>14.0</v>
      </c>
      <c r="B50" s="107" t="s">
        <v>50</v>
      </c>
      <c r="C50" s="55"/>
      <c r="D50" s="55"/>
      <c r="E50" s="55"/>
      <c r="F50" s="55"/>
      <c r="G50" s="55"/>
      <c r="H50" s="56"/>
      <c r="I50" s="108"/>
      <c r="J50" s="56"/>
      <c r="K50" s="118" t="b">
        <v>0</v>
      </c>
      <c r="L50" s="117" t="b">
        <v>0</v>
      </c>
      <c r="M50" s="117" t="b">
        <v>0</v>
      </c>
      <c r="N50" s="117" t="b">
        <v>0</v>
      </c>
      <c r="O50" s="117" t="b">
        <v>0</v>
      </c>
      <c r="P50" s="117" t="b">
        <v>0</v>
      </c>
      <c r="Q50" s="119" t="b">
        <v>0</v>
      </c>
      <c r="R50" s="118" t="b">
        <v>0</v>
      </c>
      <c r="S50" s="117" t="b">
        <v>0</v>
      </c>
      <c r="T50" s="117" t="b">
        <v>0</v>
      </c>
      <c r="U50" s="117" t="b">
        <v>0</v>
      </c>
      <c r="V50" s="117" t="b">
        <v>0</v>
      </c>
      <c r="W50" s="117" t="b">
        <v>0</v>
      </c>
      <c r="X50" s="119" t="b">
        <v>0</v>
      </c>
      <c r="Y50" s="118" t="b">
        <v>0</v>
      </c>
      <c r="Z50" s="117" t="b">
        <v>0</v>
      </c>
      <c r="AA50" s="117" t="b">
        <v>0</v>
      </c>
      <c r="AB50" s="117" t="b">
        <v>0</v>
      </c>
      <c r="AC50" s="117" t="b">
        <v>0</v>
      </c>
      <c r="AD50" s="117" t="b">
        <v>0</v>
      </c>
      <c r="AE50" s="119" t="b">
        <v>0</v>
      </c>
      <c r="AF50" s="118" t="b">
        <v>0</v>
      </c>
      <c r="AG50" s="117" t="b">
        <v>0</v>
      </c>
      <c r="AH50" s="117" t="b">
        <v>0</v>
      </c>
      <c r="AI50" s="117" t="b">
        <v>0</v>
      </c>
      <c r="AJ50" s="117" t="b">
        <v>0</v>
      </c>
      <c r="AK50" s="117" t="b">
        <v>0</v>
      </c>
      <c r="AL50" s="119" t="b">
        <v>0</v>
      </c>
      <c r="AM50" s="120" t="b">
        <v>0</v>
      </c>
      <c r="AN50" s="117" t="b">
        <v>0</v>
      </c>
      <c r="AO50" s="119" t="b">
        <v>0</v>
      </c>
      <c r="AP50" s="1"/>
      <c r="AQ50" s="1"/>
      <c r="AR50" s="58">
        <f t="shared" si="11"/>
        <v>0</v>
      </c>
      <c r="AS50" s="59">
        <f t="shared" si="12"/>
        <v>0</v>
      </c>
      <c r="AT50" s="113" t="str">
        <f t="shared" si="13"/>
        <v/>
      </c>
      <c r="AU50" s="114" t="str">
        <f>IFERROR(__xludf.DUMMYFUNCTION("IF(B50="""","""",SPARKLINE(AT50,{""charttype"",""bar"";""max"",1;""color1"",""#a7c7e7""}))"),"#N/A")</f>
        <v>#N/A</v>
      </c>
      <c r="AV50" s="115"/>
      <c r="AW50" s="115"/>
      <c r="AX50" s="115"/>
      <c r="AY50" s="115"/>
      <c r="AZ50" s="116"/>
      <c r="BA50" s="26">
        <f t="shared" si="14"/>
        <v>0</v>
      </c>
      <c r="BB50" s="3"/>
      <c r="BC50" s="4" t="s">
        <v>0</v>
      </c>
      <c r="BD50" s="3"/>
      <c r="BE50" s="3"/>
      <c r="BF50" s="3"/>
      <c r="BG50" s="3" t="s">
        <v>50</v>
      </c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ht="15.75" customHeight="1">
      <c r="A51" s="2">
        <v>15.0</v>
      </c>
      <c r="B51" s="107" t="s">
        <v>51</v>
      </c>
      <c r="C51" s="55"/>
      <c r="D51" s="55"/>
      <c r="E51" s="55"/>
      <c r="F51" s="55"/>
      <c r="G51" s="55"/>
      <c r="H51" s="56"/>
      <c r="I51" s="108"/>
      <c r="J51" s="56"/>
      <c r="K51" s="118" t="b">
        <v>0</v>
      </c>
      <c r="L51" s="117" t="b">
        <v>0</v>
      </c>
      <c r="M51" s="117" t="b">
        <v>0</v>
      </c>
      <c r="N51" s="117" t="b">
        <v>0</v>
      </c>
      <c r="O51" s="117" t="b">
        <v>0</v>
      </c>
      <c r="P51" s="117" t="b">
        <v>0</v>
      </c>
      <c r="Q51" s="119" t="b">
        <v>0</v>
      </c>
      <c r="R51" s="118" t="b">
        <v>0</v>
      </c>
      <c r="S51" s="117" t="b">
        <v>0</v>
      </c>
      <c r="T51" s="117" t="b">
        <v>0</v>
      </c>
      <c r="U51" s="117" t="b">
        <v>0</v>
      </c>
      <c r="V51" s="117" t="b">
        <v>0</v>
      </c>
      <c r="W51" s="117" t="b">
        <v>0</v>
      </c>
      <c r="X51" s="119" t="b">
        <v>0</v>
      </c>
      <c r="Y51" s="118" t="b">
        <v>0</v>
      </c>
      <c r="Z51" s="117" t="b">
        <v>0</v>
      </c>
      <c r="AA51" s="117" t="b">
        <v>0</v>
      </c>
      <c r="AB51" s="117" t="b">
        <v>0</v>
      </c>
      <c r="AC51" s="117" t="b">
        <v>0</v>
      </c>
      <c r="AD51" s="117" t="b">
        <v>0</v>
      </c>
      <c r="AE51" s="119" t="b">
        <v>0</v>
      </c>
      <c r="AF51" s="118" t="b">
        <v>0</v>
      </c>
      <c r="AG51" s="117" t="b">
        <v>0</v>
      </c>
      <c r="AH51" s="117" t="b">
        <v>0</v>
      </c>
      <c r="AI51" s="117" t="b">
        <v>0</v>
      </c>
      <c r="AJ51" s="117" t="b">
        <v>0</v>
      </c>
      <c r="AK51" s="117" t="b">
        <v>0</v>
      </c>
      <c r="AL51" s="119" t="b">
        <v>0</v>
      </c>
      <c r="AM51" s="120" t="b">
        <v>0</v>
      </c>
      <c r="AN51" s="117" t="b">
        <v>0</v>
      </c>
      <c r="AO51" s="119" t="b">
        <v>0</v>
      </c>
      <c r="AP51" s="1"/>
      <c r="AQ51" s="1"/>
      <c r="AR51" s="58">
        <f t="shared" si="11"/>
        <v>0</v>
      </c>
      <c r="AS51" s="59">
        <f t="shared" si="12"/>
        <v>0</v>
      </c>
      <c r="AT51" s="113" t="str">
        <f t="shared" si="13"/>
        <v/>
      </c>
      <c r="AU51" s="114" t="str">
        <f>IFERROR(__xludf.DUMMYFUNCTION("IF(B51="""","""",SPARKLINE(AT51,{""charttype"",""bar"";""max"",1;""color1"",""#a7c7e7""}))"),"#N/A")</f>
        <v>#N/A</v>
      </c>
      <c r="AV51" s="115"/>
      <c r="AW51" s="115"/>
      <c r="AX51" s="115"/>
      <c r="AY51" s="115"/>
      <c r="AZ51" s="116"/>
      <c r="BA51" s="26">
        <f t="shared" si="14"/>
        <v>0</v>
      </c>
      <c r="BB51" s="3"/>
      <c r="BC51" s="3"/>
      <c r="BD51" s="3"/>
      <c r="BE51" s="3"/>
      <c r="BF51" s="3"/>
      <c r="BG51" s="3" t="s">
        <v>51</v>
      </c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ht="15.75" customHeight="1">
      <c r="A52" s="2">
        <v>16.0</v>
      </c>
      <c r="B52" s="107" t="s">
        <v>52</v>
      </c>
      <c r="C52" s="55"/>
      <c r="D52" s="55"/>
      <c r="E52" s="55"/>
      <c r="F52" s="55"/>
      <c r="G52" s="55"/>
      <c r="H52" s="56"/>
      <c r="I52" s="108"/>
      <c r="J52" s="56"/>
      <c r="K52" s="118" t="b">
        <v>0</v>
      </c>
      <c r="L52" s="117" t="b">
        <v>0</v>
      </c>
      <c r="M52" s="117" t="b">
        <v>0</v>
      </c>
      <c r="N52" s="117" t="b">
        <v>0</v>
      </c>
      <c r="O52" s="117" t="b">
        <v>0</v>
      </c>
      <c r="P52" s="117" t="b">
        <v>0</v>
      </c>
      <c r="Q52" s="119" t="b">
        <v>0</v>
      </c>
      <c r="R52" s="118" t="b">
        <v>0</v>
      </c>
      <c r="S52" s="117" t="b">
        <v>0</v>
      </c>
      <c r="T52" s="117" t="b">
        <v>0</v>
      </c>
      <c r="U52" s="117" t="b">
        <v>0</v>
      </c>
      <c r="V52" s="117" t="b">
        <v>0</v>
      </c>
      <c r="W52" s="117" t="b">
        <v>0</v>
      </c>
      <c r="X52" s="119" t="b">
        <v>0</v>
      </c>
      <c r="Y52" s="118" t="b">
        <v>0</v>
      </c>
      <c r="Z52" s="117" t="b">
        <v>0</v>
      </c>
      <c r="AA52" s="117" t="b">
        <v>0</v>
      </c>
      <c r="AB52" s="117" t="b">
        <v>0</v>
      </c>
      <c r="AC52" s="117" t="b">
        <v>0</v>
      </c>
      <c r="AD52" s="117" t="b">
        <v>0</v>
      </c>
      <c r="AE52" s="119" t="b">
        <v>0</v>
      </c>
      <c r="AF52" s="118" t="b">
        <v>0</v>
      </c>
      <c r="AG52" s="117" t="b">
        <v>0</v>
      </c>
      <c r="AH52" s="117" t="b">
        <v>0</v>
      </c>
      <c r="AI52" s="117" t="b">
        <v>0</v>
      </c>
      <c r="AJ52" s="117" t="b">
        <v>0</v>
      </c>
      <c r="AK52" s="117" t="b">
        <v>0</v>
      </c>
      <c r="AL52" s="119" t="b">
        <v>0</v>
      </c>
      <c r="AM52" s="120" t="b">
        <v>0</v>
      </c>
      <c r="AN52" s="117" t="b">
        <v>0</v>
      </c>
      <c r="AO52" s="119" t="b">
        <v>0</v>
      </c>
      <c r="AP52" s="1"/>
      <c r="AQ52" s="1"/>
      <c r="AR52" s="58">
        <f t="shared" si="11"/>
        <v>0</v>
      </c>
      <c r="AS52" s="59">
        <f t="shared" si="12"/>
        <v>0</v>
      </c>
      <c r="AT52" s="113" t="str">
        <f t="shared" si="13"/>
        <v/>
      </c>
      <c r="AU52" s="114" t="str">
        <f>IFERROR(__xludf.DUMMYFUNCTION("IF(B52="""","""",SPARKLINE(AT52,{""charttype"",""bar"";""max"",1;""color1"",""#a7c7e7""}))"),"#N/A")</f>
        <v>#N/A</v>
      </c>
      <c r="AV52" s="115"/>
      <c r="AW52" s="115"/>
      <c r="AX52" s="115"/>
      <c r="AY52" s="115"/>
      <c r="AZ52" s="116"/>
      <c r="BA52" s="26">
        <f t="shared" si="14"/>
        <v>0</v>
      </c>
      <c r="BB52" s="3"/>
      <c r="BC52" s="3"/>
      <c r="BD52" s="3"/>
      <c r="BE52" s="3"/>
      <c r="BF52" s="3"/>
      <c r="BG52" s="3" t="s">
        <v>52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ht="15.75" customHeight="1">
      <c r="A53" s="2">
        <v>17.0</v>
      </c>
      <c r="B53" s="107" t="s">
        <v>53</v>
      </c>
      <c r="C53" s="55"/>
      <c r="D53" s="55"/>
      <c r="E53" s="55"/>
      <c r="F53" s="55"/>
      <c r="G53" s="55"/>
      <c r="H53" s="56"/>
      <c r="I53" s="108"/>
      <c r="J53" s="56"/>
      <c r="K53" s="118" t="b">
        <v>0</v>
      </c>
      <c r="L53" s="117" t="b">
        <v>0</v>
      </c>
      <c r="M53" s="117" t="b">
        <v>0</v>
      </c>
      <c r="N53" s="117" t="b">
        <v>0</v>
      </c>
      <c r="O53" s="117" t="b">
        <v>0</v>
      </c>
      <c r="P53" s="117" t="b">
        <v>0</v>
      </c>
      <c r="Q53" s="119" t="b">
        <v>0</v>
      </c>
      <c r="R53" s="118" t="b">
        <v>0</v>
      </c>
      <c r="S53" s="117" t="b">
        <v>0</v>
      </c>
      <c r="T53" s="117" t="b">
        <v>0</v>
      </c>
      <c r="U53" s="117" t="b">
        <v>0</v>
      </c>
      <c r="V53" s="117" t="b">
        <v>0</v>
      </c>
      <c r="W53" s="117" t="b">
        <v>0</v>
      </c>
      <c r="X53" s="119" t="b">
        <v>0</v>
      </c>
      <c r="Y53" s="118" t="b">
        <v>0</v>
      </c>
      <c r="Z53" s="117" t="b">
        <v>0</v>
      </c>
      <c r="AA53" s="117" t="b">
        <v>0</v>
      </c>
      <c r="AB53" s="117" t="b">
        <v>0</v>
      </c>
      <c r="AC53" s="117" t="b">
        <v>0</v>
      </c>
      <c r="AD53" s="117" t="b">
        <v>0</v>
      </c>
      <c r="AE53" s="119" t="b">
        <v>0</v>
      </c>
      <c r="AF53" s="118" t="b">
        <v>0</v>
      </c>
      <c r="AG53" s="117" t="b">
        <v>0</v>
      </c>
      <c r="AH53" s="117" t="b">
        <v>0</v>
      </c>
      <c r="AI53" s="117" t="b">
        <v>0</v>
      </c>
      <c r="AJ53" s="117" t="b">
        <v>0</v>
      </c>
      <c r="AK53" s="117" t="b">
        <v>0</v>
      </c>
      <c r="AL53" s="119" t="b">
        <v>0</v>
      </c>
      <c r="AM53" s="120" t="b">
        <v>0</v>
      </c>
      <c r="AN53" s="117" t="b">
        <v>0</v>
      </c>
      <c r="AO53" s="119" t="b">
        <v>0</v>
      </c>
      <c r="AP53" s="1"/>
      <c r="AQ53" s="1"/>
      <c r="AR53" s="58">
        <f t="shared" si="11"/>
        <v>0</v>
      </c>
      <c r="AS53" s="59">
        <f t="shared" si="12"/>
        <v>0</v>
      </c>
      <c r="AT53" s="113" t="str">
        <f t="shared" si="13"/>
        <v/>
      </c>
      <c r="AU53" s="114" t="str">
        <f>IFERROR(__xludf.DUMMYFUNCTION("IF(B53="""","""",SPARKLINE(AT53,{""charttype"",""bar"";""max"",1;""color1"",""#a7c7e7""}))"),"#N/A")</f>
        <v>#N/A</v>
      </c>
      <c r="AV53" s="115"/>
      <c r="AW53" s="115"/>
      <c r="AX53" s="115"/>
      <c r="AY53" s="115"/>
      <c r="AZ53" s="116"/>
      <c r="BA53" s="26">
        <f t="shared" si="14"/>
        <v>0</v>
      </c>
      <c r="BB53" s="3"/>
      <c r="BC53" s="3"/>
      <c r="BD53" s="3"/>
      <c r="BE53" s="3"/>
      <c r="BF53" s="3"/>
      <c r="BG53" s="3" t="s">
        <v>53</v>
      </c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ht="15.75" customHeight="1">
      <c r="A54" s="2">
        <v>18.0</v>
      </c>
      <c r="B54" s="107"/>
      <c r="C54" s="55"/>
      <c r="D54" s="55"/>
      <c r="E54" s="55"/>
      <c r="F54" s="55"/>
      <c r="G54" s="55"/>
      <c r="H54" s="56"/>
      <c r="I54" s="108"/>
      <c r="J54" s="56"/>
      <c r="K54" s="118" t="b">
        <v>0</v>
      </c>
      <c r="L54" s="117" t="b">
        <v>0</v>
      </c>
      <c r="M54" s="117" t="b">
        <v>0</v>
      </c>
      <c r="N54" s="117" t="b">
        <v>0</v>
      </c>
      <c r="O54" s="117" t="b">
        <v>0</v>
      </c>
      <c r="P54" s="117" t="b">
        <v>0</v>
      </c>
      <c r="Q54" s="119" t="b">
        <v>0</v>
      </c>
      <c r="R54" s="118" t="b">
        <v>0</v>
      </c>
      <c r="S54" s="117" t="b">
        <v>0</v>
      </c>
      <c r="T54" s="117" t="b">
        <v>0</v>
      </c>
      <c r="U54" s="117" t="b">
        <v>0</v>
      </c>
      <c r="V54" s="117" t="b">
        <v>0</v>
      </c>
      <c r="W54" s="117" t="b">
        <v>0</v>
      </c>
      <c r="X54" s="119" t="b">
        <v>0</v>
      </c>
      <c r="Y54" s="118" t="b">
        <v>0</v>
      </c>
      <c r="Z54" s="117" t="b">
        <v>0</v>
      </c>
      <c r="AA54" s="117" t="b">
        <v>0</v>
      </c>
      <c r="AB54" s="117" t="b">
        <v>0</v>
      </c>
      <c r="AC54" s="117" t="b">
        <v>0</v>
      </c>
      <c r="AD54" s="117" t="b">
        <v>0</v>
      </c>
      <c r="AE54" s="119" t="b">
        <v>0</v>
      </c>
      <c r="AF54" s="118" t="b">
        <v>0</v>
      </c>
      <c r="AG54" s="117" t="b">
        <v>0</v>
      </c>
      <c r="AH54" s="117" t="b">
        <v>0</v>
      </c>
      <c r="AI54" s="117" t="b">
        <v>0</v>
      </c>
      <c r="AJ54" s="117" t="b">
        <v>0</v>
      </c>
      <c r="AK54" s="117" t="b">
        <v>0</v>
      </c>
      <c r="AL54" s="119" t="b">
        <v>0</v>
      </c>
      <c r="AM54" s="120" t="b">
        <v>0</v>
      </c>
      <c r="AN54" s="117" t="b">
        <v>0</v>
      </c>
      <c r="AO54" s="119" t="b">
        <v>0</v>
      </c>
      <c r="AP54" s="1"/>
      <c r="AQ54" s="1"/>
      <c r="AR54" s="58" t="str">
        <f t="shared" si="11"/>
        <v/>
      </c>
      <c r="AS54" s="59" t="str">
        <f t="shared" si="12"/>
        <v/>
      </c>
      <c r="AT54" s="113" t="str">
        <f t="shared" si="13"/>
        <v/>
      </c>
      <c r="AU54" s="114" t="str">
        <f>IFERROR(__xludf.DUMMYFUNCTION("IF(B54="""","""",SPARKLINE(AT54,{""charttype"",""bar"";""max"",1;""color1"",""#a7c7e7""}))"),"")</f>
        <v/>
      </c>
      <c r="AV54" s="115"/>
      <c r="AW54" s="115"/>
      <c r="AX54" s="115"/>
      <c r="AY54" s="115"/>
      <c r="AZ54" s="116"/>
      <c r="BA54" s="26">
        <f t="shared" si="14"/>
        <v>0</v>
      </c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ht="15.75" customHeight="1">
      <c r="A55" s="2">
        <v>19.0</v>
      </c>
      <c r="B55" s="107"/>
      <c r="C55" s="55"/>
      <c r="D55" s="55"/>
      <c r="E55" s="55"/>
      <c r="F55" s="55"/>
      <c r="G55" s="55"/>
      <c r="H55" s="56"/>
      <c r="I55" s="108"/>
      <c r="J55" s="56"/>
      <c r="K55" s="118" t="b">
        <v>0</v>
      </c>
      <c r="L55" s="117" t="b">
        <v>0</v>
      </c>
      <c r="M55" s="117" t="b">
        <v>0</v>
      </c>
      <c r="N55" s="117" t="b">
        <v>0</v>
      </c>
      <c r="O55" s="117" t="b">
        <v>0</v>
      </c>
      <c r="P55" s="117" t="b">
        <v>0</v>
      </c>
      <c r="Q55" s="119" t="b">
        <v>0</v>
      </c>
      <c r="R55" s="118" t="b">
        <v>0</v>
      </c>
      <c r="S55" s="117" t="b">
        <v>0</v>
      </c>
      <c r="T55" s="117" t="b">
        <v>0</v>
      </c>
      <c r="U55" s="117" t="b">
        <v>0</v>
      </c>
      <c r="V55" s="117" t="b">
        <v>0</v>
      </c>
      <c r="W55" s="117" t="b">
        <v>0</v>
      </c>
      <c r="X55" s="119" t="b">
        <v>0</v>
      </c>
      <c r="Y55" s="118" t="b">
        <v>0</v>
      </c>
      <c r="Z55" s="117" t="b">
        <v>0</v>
      </c>
      <c r="AA55" s="117" t="b">
        <v>0</v>
      </c>
      <c r="AB55" s="117" t="b">
        <v>0</v>
      </c>
      <c r="AC55" s="117" t="b">
        <v>0</v>
      </c>
      <c r="AD55" s="117" t="b">
        <v>0</v>
      </c>
      <c r="AE55" s="119" t="b">
        <v>0</v>
      </c>
      <c r="AF55" s="118" t="b">
        <v>0</v>
      </c>
      <c r="AG55" s="117" t="b">
        <v>0</v>
      </c>
      <c r="AH55" s="117" t="b">
        <v>0</v>
      </c>
      <c r="AI55" s="117" t="b">
        <v>0</v>
      </c>
      <c r="AJ55" s="117" t="b">
        <v>0</v>
      </c>
      <c r="AK55" s="117" t="b">
        <v>0</v>
      </c>
      <c r="AL55" s="119" t="b">
        <v>0</v>
      </c>
      <c r="AM55" s="120" t="b">
        <v>0</v>
      </c>
      <c r="AN55" s="117" t="b">
        <v>0</v>
      </c>
      <c r="AO55" s="119" t="b">
        <v>0</v>
      </c>
      <c r="AP55" s="1"/>
      <c r="AQ55" s="1"/>
      <c r="AR55" s="58" t="str">
        <f t="shared" si="11"/>
        <v/>
      </c>
      <c r="AS55" s="59" t="str">
        <f t="shared" si="12"/>
        <v/>
      </c>
      <c r="AT55" s="113" t="str">
        <f t="shared" si="13"/>
        <v/>
      </c>
      <c r="AU55" s="114" t="str">
        <f>IFERROR(__xludf.DUMMYFUNCTION("IF(B55="""","""",SPARKLINE(AT55,{""charttype"",""bar"";""max"",1;""color1"",""#a7c7e7""}))"),"")</f>
        <v/>
      </c>
      <c r="AV55" s="115"/>
      <c r="AW55" s="115"/>
      <c r="AX55" s="115"/>
      <c r="AY55" s="115"/>
      <c r="AZ55" s="116"/>
      <c r="BA55" s="26">
        <f t="shared" si="14"/>
        <v>0</v>
      </c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ht="15.75" customHeight="1">
      <c r="A56" s="2">
        <v>20.0</v>
      </c>
      <c r="B56" s="107"/>
      <c r="C56" s="55"/>
      <c r="D56" s="55"/>
      <c r="E56" s="55"/>
      <c r="F56" s="55"/>
      <c r="G56" s="55"/>
      <c r="H56" s="56"/>
      <c r="I56" s="108"/>
      <c r="J56" s="56"/>
      <c r="K56" s="118" t="b">
        <v>0</v>
      </c>
      <c r="L56" s="117" t="b">
        <v>0</v>
      </c>
      <c r="M56" s="117" t="b">
        <v>0</v>
      </c>
      <c r="N56" s="117" t="b">
        <v>0</v>
      </c>
      <c r="O56" s="117" t="b">
        <v>0</v>
      </c>
      <c r="P56" s="117" t="b">
        <v>0</v>
      </c>
      <c r="Q56" s="119" t="b">
        <v>0</v>
      </c>
      <c r="R56" s="118" t="b">
        <v>0</v>
      </c>
      <c r="S56" s="117" t="b">
        <v>0</v>
      </c>
      <c r="T56" s="117" t="b">
        <v>0</v>
      </c>
      <c r="U56" s="117" t="b">
        <v>0</v>
      </c>
      <c r="V56" s="117" t="b">
        <v>0</v>
      </c>
      <c r="W56" s="117" t="b">
        <v>0</v>
      </c>
      <c r="X56" s="119" t="b">
        <v>0</v>
      </c>
      <c r="Y56" s="118" t="b">
        <v>0</v>
      </c>
      <c r="Z56" s="117" t="b">
        <v>0</v>
      </c>
      <c r="AA56" s="117" t="b">
        <v>0</v>
      </c>
      <c r="AB56" s="117" t="b">
        <v>0</v>
      </c>
      <c r="AC56" s="117" t="b">
        <v>0</v>
      </c>
      <c r="AD56" s="117" t="b">
        <v>0</v>
      </c>
      <c r="AE56" s="119" t="b">
        <v>0</v>
      </c>
      <c r="AF56" s="118" t="b">
        <v>0</v>
      </c>
      <c r="AG56" s="117" t="b">
        <v>0</v>
      </c>
      <c r="AH56" s="117" t="b">
        <v>0</v>
      </c>
      <c r="AI56" s="117" t="b">
        <v>0</v>
      </c>
      <c r="AJ56" s="117" t="b">
        <v>0</v>
      </c>
      <c r="AK56" s="117" t="b">
        <v>0</v>
      </c>
      <c r="AL56" s="119" t="b">
        <v>0</v>
      </c>
      <c r="AM56" s="120" t="b">
        <v>0</v>
      </c>
      <c r="AN56" s="117" t="b">
        <v>0</v>
      </c>
      <c r="AO56" s="119" t="b">
        <v>0</v>
      </c>
      <c r="AP56" s="1"/>
      <c r="AQ56" s="1"/>
      <c r="AR56" s="58" t="str">
        <f t="shared" si="11"/>
        <v/>
      </c>
      <c r="AS56" s="59" t="str">
        <f t="shared" si="12"/>
        <v/>
      </c>
      <c r="AT56" s="113" t="str">
        <f t="shared" si="13"/>
        <v/>
      </c>
      <c r="AU56" s="114" t="str">
        <f>IFERROR(__xludf.DUMMYFUNCTION("IF(B56="""","""",SPARKLINE(AT56,{""charttype"",""bar"";""max"",1;""color1"",""#a7c7e7""}))"),"")</f>
        <v/>
      </c>
      <c r="AV56" s="115"/>
      <c r="AW56" s="115"/>
      <c r="AX56" s="115"/>
      <c r="AY56" s="115"/>
      <c r="AZ56" s="116"/>
      <c r="BA56" s="26">
        <f t="shared" si="14"/>
        <v>0</v>
      </c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ht="15.75" customHeight="1">
      <c r="A57" s="2">
        <v>21.0</v>
      </c>
      <c r="B57" s="107"/>
      <c r="C57" s="55"/>
      <c r="D57" s="55"/>
      <c r="E57" s="55"/>
      <c r="F57" s="55"/>
      <c r="G57" s="55"/>
      <c r="H57" s="56"/>
      <c r="I57" s="108"/>
      <c r="J57" s="56"/>
      <c r="K57" s="118" t="b">
        <v>0</v>
      </c>
      <c r="L57" s="117" t="b">
        <v>0</v>
      </c>
      <c r="M57" s="117" t="b">
        <v>0</v>
      </c>
      <c r="N57" s="117" t="b">
        <v>0</v>
      </c>
      <c r="O57" s="117" t="b">
        <v>0</v>
      </c>
      <c r="P57" s="117" t="b">
        <v>0</v>
      </c>
      <c r="Q57" s="119" t="b">
        <v>0</v>
      </c>
      <c r="R57" s="118" t="b">
        <v>0</v>
      </c>
      <c r="S57" s="117" t="b">
        <v>0</v>
      </c>
      <c r="T57" s="117" t="b">
        <v>0</v>
      </c>
      <c r="U57" s="117" t="b">
        <v>0</v>
      </c>
      <c r="V57" s="117" t="b">
        <v>0</v>
      </c>
      <c r="W57" s="117" t="b">
        <v>0</v>
      </c>
      <c r="X57" s="119" t="b">
        <v>0</v>
      </c>
      <c r="Y57" s="118" t="b">
        <v>0</v>
      </c>
      <c r="Z57" s="117" t="b">
        <v>0</v>
      </c>
      <c r="AA57" s="117" t="b">
        <v>0</v>
      </c>
      <c r="AB57" s="117" t="b">
        <v>0</v>
      </c>
      <c r="AC57" s="117" t="b">
        <v>0</v>
      </c>
      <c r="AD57" s="117" t="b">
        <v>0</v>
      </c>
      <c r="AE57" s="119" t="b">
        <v>0</v>
      </c>
      <c r="AF57" s="118" t="b">
        <v>0</v>
      </c>
      <c r="AG57" s="117" t="b">
        <v>0</v>
      </c>
      <c r="AH57" s="117" t="b">
        <v>0</v>
      </c>
      <c r="AI57" s="117" t="b">
        <v>0</v>
      </c>
      <c r="AJ57" s="117" t="b">
        <v>0</v>
      </c>
      <c r="AK57" s="117" t="b">
        <v>0</v>
      </c>
      <c r="AL57" s="119" t="b">
        <v>0</v>
      </c>
      <c r="AM57" s="120" t="b">
        <v>0</v>
      </c>
      <c r="AN57" s="117" t="b">
        <v>0</v>
      </c>
      <c r="AO57" s="119" t="b">
        <v>0</v>
      </c>
      <c r="AP57" s="1"/>
      <c r="AQ57" s="1"/>
      <c r="AR57" s="58" t="str">
        <f t="shared" si="11"/>
        <v/>
      </c>
      <c r="AS57" s="59" t="str">
        <f t="shared" si="12"/>
        <v/>
      </c>
      <c r="AT57" s="113" t="str">
        <f t="shared" si="13"/>
        <v/>
      </c>
      <c r="AU57" s="114" t="str">
        <f>IFERROR(__xludf.DUMMYFUNCTION("IF(B57="""","""",SPARKLINE(AT57,{""charttype"",""bar"";""max"",1;""color1"",""#a7c7e7""}))"),"")</f>
        <v/>
      </c>
      <c r="AV57" s="115"/>
      <c r="AW57" s="115"/>
      <c r="AX57" s="115"/>
      <c r="AY57" s="115"/>
      <c r="AZ57" s="116"/>
      <c r="BA57" s="26">
        <f t="shared" si="14"/>
        <v>0</v>
      </c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ht="15.75" customHeight="1">
      <c r="A58" s="2">
        <v>22.0</v>
      </c>
      <c r="B58" s="107"/>
      <c r="C58" s="55"/>
      <c r="D58" s="55"/>
      <c r="E58" s="55"/>
      <c r="F58" s="55"/>
      <c r="G58" s="55"/>
      <c r="H58" s="56"/>
      <c r="I58" s="108"/>
      <c r="J58" s="56"/>
      <c r="K58" s="118" t="b">
        <v>0</v>
      </c>
      <c r="L58" s="117" t="b">
        <v>0</v>
      </c>
      <c r="M58" s="117" t="b">
        <v>0</v>
      </c>
      <c r="N58" s="117" t="b">
        <v>0</v>
      </c>
      <c r="O58" s="117" t="b">
        <v>0</v>
      </c>
      <c r="P58" s="117" t="b">
        <v>0</v>
      </c>
      <c r="Q58" s="119" t="b">
        <v>0</v>
      </c>
      <c r="R58" s="118" t="b">
        <v>0</v>
      </c>
      <c r="S58" s="117" t="b">
        <v>0</v>
      </c>
      <c r="T58" s="117" t="b">
        <v>0</v>
      </c>
      <c r="U58" s="117" t="b">
        <v>0</v>
      </c>
      <c r="V58" s="117" t="b">
        <v>0</v>
      </c>
      <c r="W58" s="117" t="b">
        <v>0</v>
      </c>
      <c r="X58" s="119" t="b">
        <v>0</v>
      </c>
      <c r="Y58" s="118" t="b">
        <v>0</v>
      </c>
      <c r="Z58" s="117" t="b">
        <v>0</v>
      </c>
      <c r="AA58" s="117" t="b">
        <v>0</v>
      </c>
      <c r="AB58" s="117" t="b">
        <v>0</v>
      </c>
      <c r="AC58" s="117" t="b">
        <v>0</v>
      </c>
      <c r="AD58" s="117" t="b">
        <v>0</v>
      </c>
      <c r="AE58" s="119" t="b">
        <v>0</v>
      </c>
      <c r="AF58" s="118" t="b">
        <v>0</v>
      </c>
      <c r="AG58" s="117" t="b">
        <v>0</v>
      </c>
      <c r="AH58" s="117" t="b">
        <v>0</v>
      </c>
      <c r="AI58" s="117" t="b">
        <v>0</v>
      </c>
      <c r="AJ58" s="117" t="b">
        <v>0</v>
      </c>
      <c r="AK58" s="117" t="b">
        <v>0</v>
      </c>
      <c r="AL58" s="119" t="b">
        <v>0</v>
      </c>
      <c r="AM58" s="120" t="b">
        <v>0</v>
      </c>
      <c r="AN58" s="117" t="b">
        <v>0</v>
      </c>
      <c r="AO58" s="119" t="b">
        <v>0</v>
      </c>
      <c r="AP58" s="1"/>
      <c r="AQ58" s="1"/>
      <c r="AR58" s="58" t="str">
        <f t="shared" si="11"/>
        <v/>
      </c>
      <c r="AS58" s="59" t="str">
        <f t="shared" si="12"/>
        <v/>
      </c>
      <c r="AT58" s="113" t="str">
        <f t="shared" si="13"/>
        <v/>
      </c>
      <c r="AU58" s="114" t="str">
        <f>IFERROR(__xludf.DUMMYFUNCTION("IF(B58="""","""",SPARKLINE(AT58,{""charttype"",""bar"";""max"",1;""color1"",""#a7c7e7""}))"),"")</f>
        <v/>
      </c>
      <c r="AV58" s="115"/>
      <c r="AW58" s="115"/>
      <c r="AX58" s="115"/>
      <c r="AY58" s="115"/>
      <c r="AZ58" s="116"/>
      <c r="BA58" s="26">
        <f t="shared" si="14"/>
        <v>0</v>
      </c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ht="15.75" customHeight="1">
      <c r="A59" s="2">
        <v>23.0</v>
      </c>
      <c r="B59" s="107"/>
      <c r="C59" s="55"/>
      <c r="D59" s="55"/>
      <c r="E59" s="55"/>
      <c r="F59" s="55"/>
      <c r="G59" s="55"/>
      <c r="H59" s="56"/>
      <c r="I59" s="108"/>
      <c r="J59" s="56"/>
      <c r="K59" s="118" t="b">
        <v>0</v>
      </c>
      <c r="L59" s="117" t="b">
        <v>0</v>
      </c>
      <c r="M59" s="117" t="b">
        <v>0</v>
      </c>
      <c r="N59" s="117" t="b">
        <v>0</v>
      </c>
      <c r="O59" s="117" t="b">
        <v>0</v>
      </c>
      <c r="P59" s="117" t="b">
        <v>0</v>
      </c>
      <c r="Q59" s="119" t="b">
        <v>0</v>
      </c>
      <c r="R59" s="118" t="b">
        <v>0</v>
      </c>
      <c r="S59" s="117" t="b">
        <v>0</v>
      </c>
      <c r="T59" s="117" t="b">
        <v>0</v>
      </c>
      <c r="U59" s="117" t="b">
        <v>0</v>
      </c>
      <c r="V59" s="117" t="b">
        <v>0</v>
      </c>
      <c r="W59" s="117" t="b">
        <v>0</v>
      </c>
      <c r="X59" s="119" t="b">
        <v>0</v>
      </c>
      <c r="Y59" s="118" t="b">
        <v>0</v>
      </c>
      <c r="Z59" s="117" t="b">
        <v>0</v>
      </c>
      <c r="AA59" s="117" t="b">
        <v>0</v>
      </c>
      <c r="AB59" s="117" t="b">
        <v>0</v>
      </c>
      <c r="AC59" s="117" t="b">
        <v>0</v>
      </c>
      <c r="AD59" s="117" t="b">
        <v>0</v>
      </c>
      <c r="AE59" s="119" t="b">
        <v>0</v>
      </c>
      <c r="AF59" s="118" t="b">
        <v>0</v>
      </c>
      <c r="AG59" s="117" t="b">
        <v>0</v>
      </c>
      <c r="AH59" s="117" t="b">
        <v>0</v>
      </c>
      <c r="AI59" s="117" t="b">
        <v>0</v>
      </c>
      <c r="AJ59" s="117" t="b">
        <v>0</v>
      </c>
      <c r="AK59" s="117" t="b">
        <v>0</v>
      </c>
      <c r="AL59" s="119" t="b">
        <v>0</v>
      </c>
      <c r="AM59" s="120" t="b">
        <v>0</v>
      </c>
      <c r="AN59" s="117" t="b">
        <v>0</v>
      </c>
      <c r="AO59" s="119" t="b">
        <v>0</v>
      </c>
      <c r="AP59" s="1"/>
      <c r="AQ59" s="1"/>
      <c r="AR59" s="58" t="str">
        <f t="shared" si="11"/>
        <v/>
      </c>
      <c r="AS59" s="59" t="str">
        <f t="shared" si="12"/>
        <v/>
      </c>
      <c r="AT59" s="113" t="str">
        <f t="shared" si="13"/>
        <v/>
      </c>
      <c r="AU59" s="114" t="str">
        <f>IFERROR(__xludf.DUMMYFUNCTION("IF(B59="""","""",SPARKLINE(AT59,{""charttype"",""bar"";""max"",1;""color1"",""#a7c7e7""}))"),"")</f>
        <v/>
      </c>
      <c r="AV59" s="115"/>
      <c r="AW59" s="115"/>
      <c r="AX59" s="115"/>
      <c r="AY59" s="115"/>
      <c r="AZ59" s="116"/>
      <c r="BA59" s="26">
        <f t="shared" si="14"/>
        <v>0</v>
      </c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ht="15.75" customHeight="1">
      <c r="A60" s="2">
        <v>24.0</v>
      </c>
      <c r="B60" s="107"/>
      <c r="C60" s="55"/>
      <c r="D60" s="55"/>
      <c r="E60" s="55"/>
      <c r="F60" s="55"/>
      <c r="G60" s="55"/>
      <c r="H60" s="56"/>
      <c r="I60" s="108"/>
      <c r="J60" s="56"/>
      <c r="K60" s="118" t="b">
        <v>0</v>
      </c>
      <c r="L60" s="117" t="b">
        <v>0</v>
      </c>
      <c r="M60" s="117" t="b">
        <v>0</v>
      </c>
      <c r="N60" s="117" t="b">
        <v>0</v>
      </c>
      <c r="O60" s="117" t="b">
        <v>0</v>
      </c>
      <c r="P60" s="117" t="b">
        <v>0</v>
      </c>
      <c r="Q60" s="119" t="b">
        <v>0</v>
      </c>
      <c r="R60" s="118" t="b">
        <v>0</v>
      </c>
      <c r="S60" s="117" t="b">
        <v>0</v>
      </c>
      <c r="T60" s="117" t="b">
        <v>0</v>
      </c>
      <c r="U60" s="117" t="b">
        <v>0</v>
      </c>
      <c r="V60" s="117" t="b">
        <v>0</v>
      </c>
      <c r="W60" s="117" t="b">
        <v>0</v>
      </c>
      <c r="X60" s="119" t="b">
        <v>0</v>
      </c>
      <c r="Y60" s="118" t="b">
        <v>0</v>
      </c>
      <c r="Z60" s="117" t="b">
        <v>0</v>
      </c>
      <c r="AA60" s="117" t="b">
        <v>0</v>
      </c>
      <c r="AB60" s="117" t="b">
        <v>0</v>
      </c>
      <c r="AC60" s="117" t="b">
        <v>0</v>
      </c>
      <c r="AD60" s="117" t="b">
        <v>0</v>
      </c>
      <c r="AE60" s="119" t="b">
        <v>0</v>
      </c>
      <c r="AF60" s="118" t="b">
        <v>0</v>
      </c>
      <c r="AG60" s="117" t="b">
        <v>0</v>
      </c>
      <c r="AH60" s="117" t="b">
        <v>0</v>
      </c>
      <c r="AI60" s="117" t="b">
        <v>0</v>
      </c>
      <c r="AJ60" s="117" t="b">
        <v>0</v>
      </c>
      <c r="AK60" s="117" t="b">
        <v>0</v>
      </c>
      <c r="AL60" s="119" t="b">
        <v>0</v>
      </c>
      <c r="AM60" s="120" t="b">
        <v>0</v>
      </c>
      <c r="AN60" s="117" t="b">
        <v>0</v>
      </c>
      <c r="AO60" s="119" t="b">
        <v>0</v>
      </c>
      <c r="AP60" s="1"/>
      <c r="AQ60" s="1"/>
      <c r="AR60" s="58" t="str">
        <f t="shared" si="11"/>
        <v/>
      </c>
      <c r="AS60" s="59" t="str">
        <f t="shared" si="12"/>
        <v/>
      </c>
      <c r="AT60" s="113" t="str">
        <f t="shared" si="13"/>
        <v/>
      </c>
      <c r="AU60" s="114" t="str">
        <f>IFERROR(__xludf.DUMMYFUNCTION("IF(B60="""","""",SPARKLINE(AT60,{""charttype"",""bar"";""max"",1;""color1"",""#a7c7e7""}))"),"")</f>
        <v/>
      </c>
      <c r="AV60" s="115"/>
      <c r="AW60" s="115"/>
      <c r="AX60" s="115"/>
      <c r="AY60" s="115"/>
      <c r="AZ60" s="116"/>
      <c r="BA60" s="26">
        <f t="shared" si="14"/>
        <v>0</v>
      </c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ht="15.75" customHeight="1">
      <c r="A61" s="2">
        <v>25.0</v>
      </c>
      <c r="B61" s="121"/>
      <c r="C61" s="14"/>
      <c r="D61" s="14"/>
      <c r="E61" s="14"/>
      <c r="F61" s="14"/>
      <c r="G61" s="14"/>
      <c r="H61" s="15"/>
      <c r="I61" s="122"/>
      <c r="J61" s="15"/>
      <c r="K61" s="123" t="b">
        <v>0</v>
      </c>
      <c r="L61" s="124" t="b">
        <v>0</v>
      </c>
      <c r="M61" s="124" t="b">
        <v>0</v>
      </c>
      <c r="N61" s="124" t="b">
        <v>0</v>
      </c>
      <c r="O61" s="124" t="b">
        <v>0</v>
      </c>
      <c r="P61" s="124" t="b">
        <v>0</v>
      </c>
      <c r="Q61" s="125" t="b">
        <v>0</v>
      </c>
      <c r="R61" s="123" t="b">
        <v>0</v>
      </c>
      <c r="S61" s="124" t="b">
        <v>0</v>
      </c>
      <c r="T61" s="124" t="b">
        <v>0</v>
      </c>
      <c r="U61" s="124" t="b">
        <v>0</v>
      </c>
      <c r="V61" s="124" t="b">
        <v>0</v>
      </c>
      <c r="W61" s="124" t="b">
        <v>0</v>
      </c>
      <c r="X61" s="125" t="b">
        <v>0</v>
      </c>
      <c r="Y61" s="123" t="b">
        <v>0</v>
      </c>
      <c r="Z61" s="124" t="b">
        <v>0</v>
      </c>
      <c r="AA61" s="124" t="b">
        <v>0</v>
      </c>
      <c r="AB61" s="124" t="b">
        <v>0</v>
      </c>
      <c r="AC61" s="124" t="b">
        <v>0</v>
      </c>
      <c r="AD61" s="124" t="b">
        <v>0</v>
      </c>
      <c r="AE61" s="125" t="b">
        <v>0</v>
      </c>
      <c r="AF61" s="123" t="b">
        <v>0</v>
      </c>
      <c r="AG61" s="124" t="b">
        <v>0</v>
      </c>
      <c r="AH61" s="124" t="b">
        <v>0</v>
      </c>
      <c r="AI61" s="124" t="b">
        <v>0</v>
      </c>
      <c r="AJ61" s="124" t="b">
        <v>0</v>
      </c>
      <c r="AK61" s="124" t="b">
        <v>0</v>
      </c>
      <c r="AL61" s="125" t="b">
        <v>0</v>
      </c>
      <c r="AM61" s="126" t="b">
        <v>0</v>
      </c>
      <c r="AN61" s="124" t="b">
        <v>0</v>
      </c>
      <c r="AO61" s="127" t="b">
        <v>0</v>
      </c>
      <c r="AP61" s="1"/>
      <c r="AQ61" s="1"/>
      <c r="AR61" s="128" t="str">
        <f t="shared" si="11"/>
        <v/>
      </c>
      <c r="AS61" s="129" t="str">
        <f t="shared" si="12"/>
        <v/>
      </c>
      <c r="AT61" s="130" t="str">
        <f t="shared" si="13"/>
        <v/>
      </c>
      <c r="AU61" s="131" t="str">
        <f>IFERROR(__xludf.DUMMYFUNCTION("IF(B61="""","""",SPARKLINE(AT61,{""charttype"",""bar"";""max"",1;""color1"",""#a7c7e7""}))"),"")</f>
        <v/>
      </c>
      <c r="AV61" s="132"/>
      <c r="AW61" s="132"/>
      <c r="AX61" s="132"/>
      <c r="AY61" s="132"/>
      <c r="AZ61" s="133"/>
      <c r="BA61" s="26">
        <f t="shared" si="14"/>
        <v>0</v>
      </c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</row>
  </sheetData>
  <mergeCells count="140">
    <mergeCell ref="B2:H4"/>
    <mergeCell ref="AR2:AZ3"/>
    <mergeCell ref="AR4:AZ11"/>
    <mergeCell ref="B5:H6"/>
    <mergeCell ref="B9:H9"/>
    <mergeCell ref="B10:D10"/>
    <mergeCell ref="E10:H10"/>
    <mergeCell ref="B11:D11"/>
    <mergeCell ref="E11:H11"/>
    <mergeCell ref="B13:J16"/>
    <mergeCell ref="K13:Q14"/>
    <mergeCell ref="R13:X14"/>
    <mergeCell ref="Y13:AE14"/>
    <mergeCell ref="AF13:AL14"/>
    <mergeCell ref="AS22:AZ22"/>
    <mergeCell ref="AS23:AZ23"/>
    <mergeCell ref="AS24:AZ24"/>
    <mergeCell ref="AS25:AZ25"/>
    <mergeCell ref="AS26:AZ26"/>
    <mergeCell ref="AS27:AZ27"/>
    <mergeCell ref="AR28:AZ28"/>
    <mergeCell ref="AM13:AO14"/>
    <mergeCell ref="AR13:AZ16"/>
    <mergeCell ref="AR17:AZ17"/>
    <mergeCell ref="AS18:AZ18"/>
    <mergeCell ref="AS19:AZ19"/>
    <mergeCell ref="AS20:AZ20"/>
    <mergeCell ref="AS21:AZ21"/>
    <mergeCell ref="B17:J22"/>
    <mergeCell ref="K17:Q22"/>
    <mergeCell ref="R17:X22"/>
    <mergeCell ref="Y17:AE22"/>
    <mergeCell ref="AF17:AL22"/>
    <mergeCell ref="AM17:AO22"/>
    <mergeCell ref="B23:J23"/>
    <mergeCell ref="K26:Q26"/>
    <mergeCell ref="K27:Q27"/>
    <mergeCell ref="AF27:AL27"/>
    <mergeCell ref="AM27:AO27"/>
    <mergeCell ref="B37:H37"/>
    <mergeCell ref="I37:J37"/>
    <mergeCell ref="B38:H38"/>
    <mergeCell ref="I38:J38"/>
    <mergeCell ref="B39:H39"/>
    <mergeCell ref="I39:J39"/>
    <mergeCell ref="I40:J40"/>
    <mergeCell ref="B40:H40"/>
    <mergeCell ref="B41:H41"/>
    <mergeCell ref="I41:J41"/>
    <mergeCell ref="B42:H42"/>
    <mergeCell ref="I42:J42"/>
    <mergeCell ref="B43:H43"/>
    <mergeCell ref="I43:J43"/>
    <mergeCell ref="B45:H45"/>
    <mergeCell ref="I45:J45"/>
    <mergeCell ref="B46:H46"/>
    <mergeCell ref="I46:J46"/>
    <mergeCell ref="B47:H47"/>
    <mergeCell ref="I47:J47"/>
    <mergeCell ref="I48:J48"/>
    <mergeCell ref="B48:H48"/>
    <mergeCell ref="B49:H49"/>
    <mergeCell ref="I49:J49"/>
    <mergeCell ref="B50:H50"/>
    <mergeCell ref="I50:J50"/>
    <mergeCell ref="B51:H51"/>
    <mergeCell ref="I51:J51"/>
    <mergeCell ref="B52:H52"/>
    <mergeCell ref="I52:J52"/>
    <mergeCell ref="B53:H53"/>
    <mergeCell ref="I53:J53"/>
    <mergeCell ref="B54:H54"/>
    <mergeCell ref="I54:J54"/>
    <mergeCell ref="I55:J55"/>
    <mergeCell ref="B59:H59"/>
    <mergeCell ref="I59:J59"/>
    <mergeCell ref="B60:H60"/>
    <mergeCell ref="I60:J60"/>
    <mergeCell ref="B61:H61"/>
    <mergeCell ref="I61:J61"/>
    <mergeCell ref="B55:H55"/>
    <mergeCell ref="B56:H56"/>
    <mergeCell ref="I56:J56"/>
    <mergeCell ref="B57:H57"/>
    <mergeCell ref="I57:J57"/>
    <mergeCell ref="B58:H58"/>
    <mergeCell ref="I58:J58"/>
    <mergeCell ref="AU44:AZ44"/>
    <mergeCell ref="AU45:AZ45"/>
    <mergeCell ref="AU46:AZ46"/>
    <mergeCell ref="AU47:AZ47"/>
    <mergeCell ref="AU48:AZ48"/>
    <mergeCell ref="AU49:AZ49"/>
    <mergeCell ref="AU50:AZ50"/>
    <mergeCell ref="AU58:AZ58"/>
    <mergeCell ref="AU59:AZ59"/>
    <mergeCell ref="AU60:AZ60"/>
    <mergeCell ref="AU61:AZ61"/>
    <mergeCell ref="AU51:AZ51"/>
    <mergeCell ref="AU52:AZ52"/>
    <mergeCell ref="AU53:AZ53"/>
    <mergeCell ref="AU54:AZ54"/>
    <mergeCell ref="AU55:AZ55"/>
    <mergeCell ref="AU56:AZ56"/>
    <mergeCell ref="AU57:AZ57"/>
    <mergeCell ref="R27:X27"/>
    <mergeCell ref="Y27:AE27"/>
    <mergeCell ref="Y28:AE28"/>
    <mergeCell ref="AF28:AL28"/>
    <mergeCell ref="B24:J24"/>
    <mergeCell ref="B25:J25"/>
    <mergeCell ref="B26:J28"/>
    <mergeCell ref="R26:X26"/>
    <mergeCell ref="Y26:AE26"/>
    <mergeCell ref="AF26:AL26"/>
    <mergeCell ref="AM26:AO26"/>
    <mergeCell ref="AM28:AO28"/>
    <mergeCell ref="K28:Q28"/>
    <mergeCell ref="R28:X28"/>
    <mergeCell ref="B33:H36"/>
    <mergeCell ref="I33:J36"/>
    <mergeCell ref="K33:Q34"/>
    <mergeCell ref="R33:X34"/>
    <mergeCell ref="Y33:AE34"/>
    <mergeCell ref="AF33:AL34"/>
    <mergeCell ref="AM33:AO34"/>
    <mergeCell ref="AR33:AR36"/>
    <mergeCell ref="AS33:AS36"/>
    <mergeCell ref="AT33:AT36"/>
    <mergeCell ref="AU33:AZ33"/>
    <mergeCell ref="AU34:AZ36"/>
    <mergeCell ref="B44:H44"/>
    <mergeCell ref="I44:J44"/>
    <mergeCell ref="AU37:AZ37"/>
    <mergeCell ref="AU38:AZ38"/>
    <mergeCell ref="AU39:AZ39"/>
    <mergeCell ref="AU40:AZ40"/>
    <mergeCell ref="AU41:AZ41"/>
    <mergeCell ref="AU42:AZ42"/>
    <mergeCell ref="AU43:AZ43"/>
  </mergeCells>
  <dataValidations>
    <dataValidation type="list" allowBlank="1" showErrorMessage="1" sqref="E11">
      <formula1>'Habit Tracker'!$BC$1:$BC$12</formula1>
    </dataValidation>
  </dataValidations>
  <hyperlinks>
    <hyperlink r:id="rId1" ref="W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